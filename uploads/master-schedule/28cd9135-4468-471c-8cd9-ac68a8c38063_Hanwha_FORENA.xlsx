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lf\OneDrive\바탕 화면\"/>
    </mc:Choice>
  </mc:AlternateContent>
  <xr:revisionPtr revIDLastSave="0" documentId="8_{38B156B3-E4DD-41CE-BFE1-35F0B9AA7776}" xr6:coauthVersionLast="47" xr6:coauthVersionMax="47" xr10:uidLastSave="{00000000-0000-0000-0000-000000000000}"/>
  <bookViews>
    <workbookView xWindow="38280" yWindow="-120" windowWidth="29040" windowHeight="15720" tabRatio="500" xr2:uid="{00000000-000D-0000-FFFF-FFFF00000000}"/>
  </bookViews>
  <sheets>
    <sheet name="보할공정표 (3)" sheetId="8" r:id="rId1"/>
    <sheet name="보할공정표 (2)" sheetId="5" r:id="rId2"/>
    <sheet name="Sheet2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54" i="8" l="1"/>
  <c r="CT56" i="8" s="1"/>
  <c r="CS54" i="8"/>
  <c r="CS56" i="8" s="1"/>
  <c r="CR54" i="8"/>
  <c r="CR56" i="8" s="1"/>
  <c r="CQ54" i="8"/>
  <c r="CQ56" i="8" s="1"/>
  <c r="CP54" i="8"/>
  <c r="CP56" i="8" s="1"/>
  <c r="CO54" i="8"/>
  <c r="CO56" i="8" s="1"/>
  <c r="CN54" i="8"/>
  <c r="CN56" i="8" s="1"/>
  <c r="CM54" i="8"/>
  <c r="CM56" i="8" s="1"/>
  <c r="CL54" i="8"/>
  <c r="CL56" i="8" s="1"/>
  <c r="CK54" i="8"/>
  <c r="CK56" i="8" s="1"/>
  <c r="CJ54" i="8"/>
  <c r="CJ56" i="8" s="1"/>
  <c r="CI54" i="8"/>
  <c r="CI56" i="8" s="1"/>
  <c r="CH54" i="8"/>
  <c r="CH56" i="8" s="1"/>
  <c r="CG54" i="8"/>
  <c r="CG56" i="8" s="1"/>
  <c r="CF54" i="8"/>
  <c r="CF56" i="8" s="1"/>
  <c r="CE54" i="8"/>
  <c r="CE56" i="8" s="1"/>
  <c r="CD54" i="8"/>
  <c r="CD56" i="8" s="1"/>
  <c r="CC54" i="8"/>
  <c r="CC56" i="8" s="1"/>
  <c r="CB54" i="8"/>
  <c r="CB56" i="8" s="1"/>
  <c r="CA54" i="8"/>
  <c r="CA56" i="8" s="1"/>
  <c r="BZ54" i="8"/>
  <c r="BZ56" i="8" s="1"/>
  <c r="BY54" i="8"/>
  <c r="BY56" i="8" s="1"/>
  <c r="BX54" i="8"/>
  <c r="BX56" i="8" s="1"/>
  <c r="BW54" i="8"/>
  <c r="BW56" i="8" s="1"/>
  <c r="BV54" i="8"/>
  <c r="BV56" i="8" s="1"/>
  <c r="BU54" i="8"/>
  <c r="BU56" i="8" s="1"/>
  <c r="BT54" i="8"/>
  <c r="BT56" i="8" s="1"/>
  <c r="BS54" i="8"/>
  <c r="BS56" i="8" s="1"/>
  <c r="BR54" i="8"/>
  <c r="BR56" i="8" s="1"/>
  <c r="BQ54" i="8"/>
  <c r="BQ56" i="8" s="1"/>
  <c r="BP54" i="8"/>
  <c r="BP56" i="8" s="1"/>
  <c r="BO54" i="8"/>
  <c r="BO56" i="8" s="1"/>
  <c r="BN54" i="8"/>
  <c r="BN56" i="8" s="1"/>
  <c r="BM54" i="8"/>
  <c r="BM56" i="8" s="1"/>
  <c r="BL54" i="8"/>
  <c r="BL56" i="8" s="1"/>
  <c r="BK54" i="8"/>
  <c r="BK56" i="8" s="1"/>
  <c r="BJ54" i="8"/>
  <c r="BJ56" i="8" s="1"/>
  <c r="BI54" i="8"/>
  <c r="BI56" i="8" s="1"/>
  <c r="BH54" i="8"/>
  <c r="BH56" i="8" s="1"/>
  <c r="BG54" i="8"/>
  <c r="BG56" i="8" s="1"/>
  <c r="BF54" i="8"/>
  <c r="BF56" i="8" s="1"/>
  <c r="BE54" i="8"/>
  <c r="BE56" i="8" s="1"/>
  <c r="BD54" i="8"/>
  <c r="BD56" i="8" s="1"/>
  <c r="BC54" i="8"/>
  <c r="BC56" i="8" s="1"/>
  <c r="BB54" i="8"/>
  <c r="BB56" i="8" s="1"/>
  <c r="BA54" i="8"/>
  <c r="BA56" i="8" s="1"/>
  <c r="AZ54" i="8"/>
  <c r="AZ56" i="8" s="1"/>
  <c r="AY54" i="8"/>
  <c r="AY56" i="8" s="1"/>
  <c r="AX54" i="8"/>
  <c r="AX56" i="8" s="1"/>
  <c r="AW54" i="8"/>
  <c r="AW56" i="8" s="1"/>
  <c r="AV54" i="8"/>
  <c r="AV56" i="8" s="1"/>
  <c r="AU54" i="8"/>
  <c r="AU56" i="8" s="1"/>
  <c r="AT54" i="8"/>
  <c r="AT56" i="8" s="1"/>
  <c r="AS54" i="8"/>
  <c r="AS56" i="8" s="1"/>
  <c r="AR54" i="8"/>
  <c r="AR56" i="8" s="1"/>
  <c r="AQ54" i="8"/>
  <c r="AQ56" i="8" s="1"/>
  <c r="AP54" i="8"/>
  <c r="AP56" i="8" s="1"/>
  <c r="AO54" i="8"/>
  <c r="AO56" i="8" s="1"/>
  <c r="AN54" i="8"/>
  <c r="AN56" i="8" s="1"/>
  <c r="AM54" i="8"/>
  <c r="AM56" i="8" s="1"/>
  <c r="AL54" i="8"/>
  <c r="AL56" i="8" s="1"/>
  <c r="AK54" i="8"/>
  <c r="AK56" i="8" s="1"/>
  <c r="AJ54" i="8"/>
  <c r="AJ56" i="8" s="1"/>
  <c r="AI54" i="8"/>
  <c r="AI56" i="8" s="1"/>
  <c r="AH54" i="8"/>
  <c r="AH56" i="8" s="1"/>
  <c r="AG54" i="8"/>
  <c r="AG56" i="8" s="1"/>
  <c r="AF54" i="8"/>
  <c r="AF56" i="8" s="1"/>
  <c r="AE54" i="8"/>
  <c r="AE56" i="8" s="1"/>
  <c r="AD54" i="8"/>
  <c r="AD56" i="8" s="1"/>
  <c r="AC54" i="8"/>
  <c r="AC56" i="8" s="1"/>
  <c r="AB54" i="8"/>
  <c r="AB56" i="8" s="1"/>
  <c r="AA54" i="8"/>
  <c r="AA56" i="8" s="1"/>
  <c r="Z54" i="8"/>
  <c r="Z56" i="8" s="1"/>
  <c r="Y54" i="8"/>
  <c r="Y56" i="8" s="1"/>
  <c r="X54" i="8"/>
  <c r="X56" i="8" s="1"/>
  <c r="W54" i="8"/>
  <c r="W56" i="8" s="1"/>
  <c r="J54" i="8"/>
  <c r="J56" i="8" s="1"/>
  <c r="I54" i="8"/>
  <c r="I56" i="8" s="1"/>
  <c r="H54" i="8"/>
  <c r="H56" i="8" s="1"/>
  <c r="G54" i="8"/>
  <c r="G56" i="8" s="1"/>
  <c r="DW52" i="8"/>
  <c r="DX52" i="8" s="1"/>
  <c r="DW51" i="8"/>
  <c r="DX51" i="8" s="1"/>
  <c r="DW50" i="8"/>
  <c r="DX50" i="8" s="1"/>
  <c r="DW49" i="8"/>
  <c r="DX49" i="8" s="1"/>
  <c r="DW48" i="8"/>
  <c r="DX48" i="8" s="1"/>
  <c r="DW47" i="8"/>
  <c r="DX47" i="8" s="1"/>
  <c r="DW46" i="8"/>
  <c r="DX46" i="8" s="1"/>
  <c r="DW45" i="8"/>
  <c r="DX45" i="8" s="1"/>
  <c r="DW44" i="8"/>
  <c r="DX44" i="8" s="1"/>
  <c r="DW43" i="8"/>
  <c r="DX43" i="8" s="1"/>
  <c r="DW42" i="8"/>
  <c r="DX42" i="8" s="1"/>
  <c r="DW41" i="8"/>
  <c r="DX41" i="8" s="1"/>
  <c r="DW40" i="8"/>
  <c r="DX40" i="8" s="1"/>
  <c r="DW39" i="8"/>
  <c r="DX39" i="8" s="1"/>
  <c r="DW38" i="8"/>
  <c r="DX38" i="8" s="1"/>
  <c r="DW37" i="8"/>
  <c r="DX37" i="8" s="1"/>
  <c r="DW36" i="8"/>
  <c r="DX36" i="8" s="1"/>
  <c r="DW35" i="8"/>
  <c r="DX35" i="8" s="1"/>
  <c r="DW34" i="8"/>
  <c r="DX34" i="8" s="1"/>
  <c r="DW33" i="8"/>
  <c r="DX33" i="8" s="1"/>
  <c r="DW32" i="8"/>
  <c r="DX32" i="8" s="1"/>
  <c r="DW31" i="8"/>
  <c r="DX31" i="8" s="1"/>
  <c r="DW30" i="8"/>
  <c r="DX30" i="8" s="1"/>
  <c r="DW29" i="8"/>
  <c r="DX29" i="8" s="1"/>
  <c r="DW28" i="8"/>
  <c r="DX28" i="8" s="1"/>
  <c r="DW27" i="8"/>
  <c r="DX27" i="8" s="1"/>
  <c r="DW26" i="8"/>
  <c r="DX26" i="8" s="1"/>
  <c r="DW25" i="8"/>
  <c r="DX25" i="8" s="1"/>
  <c r="DW24" i="8"/>
  <c r="DX24" i="8" s="1"/>
  <c r="DW23" i="8"/>
  <c r="DX23" i="8" s="1"/>
  <c r="DW22" i="8"/>
  <c r="DX22" i="8" s="1"/>
  <c r="DW21" i="8"/>
  <c r="DX21" i="8" s="1"/>
  <c r="DW20" i="8"/>
  <c r="DX20" i="8" s="1"/>
  <c r="DW19" i="8"/>
  <c r="DX19" i="8" s="1"/>
  <c r="DW18" i="8"/>
  <c r="DX18" i="8" s="1"/>
  <c r="DW17" i="8"/>
  <c r="DX17" i="8" s="1"/>
  <c r="DW16" i="8"/>
  <c r="DX16" i="8" s="1"/>
  <c r="DW15" i="8"/>
  <c r="DX15" i="8" s="1"/>
  <c r="DW14" i="8"/>
  <c r="DX14" i="8" s="1"/>
  <c r="DW13" i="8"/>
  <c r="DX13" i="8" s="1"/>
  <c r="DW12" i="8"/>
  <c r="DX12" i="8" s="1"/>
  <c r="DW11" i="8"/>
  <c r="DX11" i="8" s="1"/>
  <c r="DW10" i="8"/>
  <c r="DX10" i="8" s="1"/>
  <c r="DW9" i="8"/>
  <c r="DW33" i="5"/>
  <c r="DX33" i="5" s="1"/>
  <c r="G54" i="5"/>
  <c r="G56" i="5" s="1"/>
  <c r="H54" i="5"/>
  <c r="H56" i="5" s="1"/>
  <c r="I54" i="5"/>
  <c r="I56" i="5" s="1"/>
  <c r="J54" i="5"/>
  <c r="J56" i="5" s="1"/>
  <c r="W54" i="5"/>
  <c r="W56" i="5" s="1"/>
  <c r="X54" i="5"/>
  <c r="X56" i="5" s="1"/>
  <c r="Y54" i="5"/>
  <c r="Y56" i="5" s="1"/>
  <c r="Z54" i="5"/>
  <c r="Z56" i="5" s="1"/>
  <c r="AA54" i="5"/>
  <c r="AA56" i="5" s="1"/>
  <c r="AB54" i="5"/>
  <c r="AB56" i="5" s="1"/>
  <c r="AC54" i="5"/>
  <c r="AC56" i="5" s="1"/>
  <c r="AD54" i="5"/>
  <c r="AD56" i="5" s="1"/>
  <c r="AE54" i="5"/>
  <c r="AE56" i="5" s="1"/>
  <c r="AF54" i="5"/>
  <c r="AF56" i="5" s="1"/>
  <c r="AG54" i="5"/>
  <c r="AG56" i="5" s="1"/>
  <c r="AH54" i="5"/>
  <c r="AH56" i="5" s="1"/>
  <c r="AI54" i="5"/>
  <c r="AI56" i="5" s="1"/>
  <c r="AJ54" i="5"/>
  <c r="AJ56" i="5" s="1"/>
  <c r="AK54" i="5"/>
  <c r="AK56" i="5" s="1"/>
  <c r="AL54" i="5"/>
  <c r="AL56" i="5" s="1"/>
  <c r="AM54" i="5"/>
  <c r="AM56" i="5" s="1"/>
  <c r="AN54" i="5"/>
  <c r="AN56" i="5" s="1"/>
  <c r="AO54" i="5"/>
  <c r="AO56" i="5" s="1"/>
  <c r="AP54" i="5"/>
  <c r="AP56" i="5" s="1"/>
  <c r="AQ54" i="5"/>
  <c r="AQ56" i="5" s="1"/>
  <c r="AR54" i="5"/>
  <c r="AR56" i="5" s="1"/>
  <c r="AS54" i="5"/>
  <c r="AS56" i="5" s="1"/>
  <c r="AT54" i="5"/>
  <c r="AT56" i="5" s="1"/>
  <c r="AU54" i="5"/>
  <c r="AU56" i="5" s="1"/>
  <c r="AV54" i="5"/>
  <c r="AV56" i="5" s="1"/>
  <c r="AW54" i="5"/>
  <c r="AW56" i="5" s="1"/>
  <c r="AX54" i="5"/>
  <c r="AX56" i="5" s="1"/>
  <c r="AY54" i="5"/>
  <c r="AY56" i="5" s="1"/>
  <c r="AZ54" i="5"/>
  <c r="AZ56" i="5" s="1"/>
  <c r="BA54" i="5"/>
  <c r="BA56" i="5" s="1"/>
  <c r="BB54" i="5"/>
  <c r="BB56" i="5" s="1"/>
  <c r="BC54" i="5"/>
  <c r="BC56" i="5" s="1"/>
  <c r="BD54" i="5"/>
  <c r="BD56" i="5" s="1"/>
  <c r="BE54" i="5"/>
  <c r="BE56" i="5" s="1"/>
  <c r="BF54" i="5"/>
  <c r="BF56" i="5" s="1"/>
  <c r="BG54" i="5"/>
  <c r="BG56" i="5" s="1"/>
  <c r="BH54" i="5"/>
  <c r="BH56" i="5" s="1"/>
  <c r="BI54" i="5"/>
  <c r="BI56" i="5" s="1"/>
  <c r="BJ54" i="5"/>
  <c r="BJ56" i="5" s="1"/>
  <c r="BK54" i="5"/>
  <c r="BK56" i="5" s="1"/>
  <c r="BL54" i="5"/>
  <c r="BL56" i="5" s="1"/>
  <c r="BM54" i="5"/>
  <c r="BM56" i="5" s="1"/>
  <c r="BN54" i="5"/>
  <c r="BN56" i="5" s="1"/>
  <c r="BO54" i="5"/>
  <c r="BO56" i="5" s="1"/>
  <c r="BP54" i="5"/>
  <c r="BP56" i="5" s="1"/>
  <c r="BQ54" i="5"/>
  <c r="BQ56" i="5" s="1"/>
  <c r="BR54" i="5"/>
  <c r="BR56" i="5" s="1"/>
  <c r="BS54" i="5"/>
  <c r="BS56" i="5" s="1"/>
  <c r="BT54" i="5"/>
  <c r="BT56" i="5" s="1"/>
  <c r="BU54" i="5"/>
  <c r="BU56" i="5" s="1"/>
  <c r="BV54" i="5"/>
  <c r="BV56" i="5" s="1"/>
  <c r="BW54" i="5"/>
  <c r="BW56" i="5" s="1"/>
  <c r="BX54" i="5"/>
  <c r="BX56" i="5" s="1"/>
  <c r="BY54" i="5"/>
  <c r="BY56" i="5" s="1"/>
  <c r="BZ54" i="5"/>
  <c r="BZ56" i="5" s="1"/>
  <c r="CA54" i="5"/>
  <c r="CA56" i="5" s="1"/>
  <c r="CB54" i="5"/>
  <c r="CB56" i="5" s="1"/>
  <c r="CC54" i="5"/>
  <c r="CC56" i="5" s="1"/>
  <c r="CD54" i="5"/>
  <c r="CD56" i="5" s="1"/>
  <c r="CE54" i="5"/>
  <c r="CE56" i="5" s="1"/>
  <c r="CF54" i="5"/>
  <c r="CF56" i="5" s="1"/>
  <c r="CG54" i="5"/>
  <c r="CG56" i="5" s="1"/>
  <c r="CH54" i="5"/>
  <c r="CH56" i="5" s="1"/>
  <c r="CI54" i="5"/>
  <c r="CI56" i="5" s="1"/>
  <c r="DW35" i="5"/>
  <c r="DX35" i="5" s="1"/>
  <c r="DW34" i="5"/>
  <c r="DX34" i="5" s="1"/>
  <c r="DW32" i="5"/>
  <c r="DX32" i="5" s="1"/>
  <c r="DW10" i="5"/>
  <c r="DX10" i="5" s="1"/>
  <c r="CT54" i="5"/>
  <c r="CT56" i="5" s="1"/>
  <c r="CS54" i="5"/>
  <c r="CS56" i="5" s="1"/>
  <c r="CR54" i="5"/>
  <c r="CR56" i="5" s="1"/>
  <c r="CQ54" i="5"/>
  <c r="CQ56" i="5" s="1"/>
  <c r="CP54" i="5"/>
  <c r="CP56" i="5" s="1"/>
  <c r="CO54" i="5"/>
  <c r="CO56" i="5" s="1"/>
  <c r="CN54" i="5"/>
  <c r="CN56" i="5" s="1"/>
  <c r="CM54" i="5"/>
  <c r="CM56" i="5" s="1"/>
  <c r="CL54" i="5"/>
  <c r="CL56" i="5" s="1"/>
  <c r="CK54" i="5"/>
  <c r="CK56" i="5" s="1"/>
  <c r="CJ54" i="5"/>
  <c r="CJ56" i="5" s="1"/>
  <c r="DW52" i="5"/>
  <c r="DX52" i="5" s="1"/>
  <c r="DW51" i="5"/>
  <c r="DX51" i="5" s="1"/>
  <c r="DW50" i="5"/>
  <c r="DX50" i="5" s="1"/>
  <c r="DW49" i="5"/>
  <c r="DX49" i="5" s="1"/>
  <c r="DW48" i="5"/>
  <c r="DX48" i="5" s="1"/>
  <c r="DW47" i="5"/>
  <c r="DX47" i="5" s="1"/>
  <c r="DW46" i="5"/>
  <c r="DX46" i="5" s="1"/>
  <c r="DW45" i="5"/>
  <c r="DX45" i="5" s="1"/>
  <c r="DW44" i="5"/>
  <c r="DX44" i="5" s="1"/>
  <c r="DW43" i="5"/>
  <c r="DX43" i="5" s="1"/>
  <c r="DW42" i="5"/>
  <c r="DX42" i="5" s="1"/>
  <c r="DW41" i="5"/>
  <c r="DX41" i="5" s="1"/>
  <c r="DW40" i="5"/>
  <c r="DX40" i="5" s="1"/>
  <c r="DW39" i="5"/>
  <c r="DX39" i="5" s="1"/>
  <c r="DW38" i="5"/>
  <c r="DX38" i="5" s="1"/>
  <c r="DW37" i="5"/>
  <c r="DX37" i="5" s="1"/>
  <c r="DW36" i="5"/>
  <c r="DX36" i="5" s="1"/>
  <c r="DW31" i="5"/>
  <c r="DX31" i="5" s="1"/>
  <c r="DW30" i="5"/>
  <c r="DX30" i="5" s="1"/>
  <c r="DW29" i="5"/>
  <c r="DX29" i="5" s="1"/>
  <c r="DW28" i="5"/>
  <c r="DX28" i="5" s="1"/>
  <c r="DW27" i="5"/>
  <c r="DX27" i="5" s="1"/>
  <c r="DW26" i="5"/>
  <c r="DX26" i="5" s="1"/>
  <c r="DW25" i="5"/>
  <c r="DX25" i="5" s="1"/>
  <c r="DW24" i="5"/>
  <c r="DX24" i="5" s="1"/>
  <c r="DW23" i="5"/>
  <c r="DX23" i="5" s="1"/>
  <c r="DW22" i="5"/>
  <c r="DX22" i="5" s="1"/>
  <c r="DW21" i="5"/>
  <c r="DX21" i="5" s="1"/>
  <c r="DW20" i="5"/>
  <c r="DX20" i="5" s="1"/>
  <c r="DW19" i="5"/>
  <c r="DX19" i="5" s="1"/>
  <c r="DW18" i="5"/>
  <c r="DX18" i="5" s="1"/>
  <c r="DW17" i="5"/>
  <c r="DX17" i="5" s="1"/>
  <c r="DW16" i="5"/>
  <c r="DX16" i="5" s="1"/>
  <c r="DW15" i="5"/>
  <c r="DX15" i="5" s="1"/>
  <c r="DW14" i="5"/>
  <c r="DX14" i="5" s="1"/>
  <c r="DW13" i="5"/>
  <c r="DX13" i="5" s="1"/>
  <c r="DW12" i="5"/>
  <c r="DX12" i="5" s="1"/>
  <c r="DW11" i="5"/>
  <c r="DX11" i="5" s="1"/>
  <c r="DW9" i="5"/>
  <c r="DW54" i="8" l="1"/>
  <c r="DX54" i="8" s="1"/>
  <c r="CT57" i="8"/>
  <c r="BY57" i="8"/>
  <c r="CN57" i="8"/>
  <c r="AR57" i="8"/>
  <c r="AA57" i="8"/>
  <c r="BI57" i="8"/>
  <c r="AC57" i="8"/>
  <c r="BX57" i="8"/>
  <c r="AD57" i="8"/>
  <c r="CO57" i="8"/>
  <c r="AS57" i="8"/>
  <c r="BH57" i="8"/>
  <c r="AB57" i="8"/>
  <c r="BW57" i="8"/>
  <c r="AQ57" i="8"/>
  <c r="BG57" i="8"/>
  <c r="CM57" i="8"/>
  <c r="G57" i="8"/>
  <c r="AI57" i="8"/>
  <c r="AY57" i="8"/>
  <c r="BO57" i="8"/>
  <c r="CE57" i="8"/>
  <c r="H57" i="8"/>
  <c r="AJ57" i="8"/>
  <c r="AZ57" i="8"/>
  <c r="BP57" i="8"/>
  <c r="CF57" i="8"/>
  <c r="I57" i="8"/>
  <c r="AK57" i="8"/>
  <c r="BA57" i="8"/>
  <c r="BQ57" i="8"/>
  <c r="CG57" i="8"/>
  <c r="J57" i="8"/>
  <c r="AL57" i="8"/>
  <c r="BB57" i="8"/>
  <c r="BR57" i="8"/>
  <c r="CH57" i="8"/>
  <c r="W57" i="8"/>
  <c r="AM57" i="8"/>
  <c r="BC57" i="8"/>
  <c r="BS57" i="8"/>
  <c r="CI57" i="8"/>
  <c r="X57" i="8"/>
  <c r="AN57" i="8"/>
  <c r="BD57" i="8"/>
  <c r="BT57" i="8"/>
  <c r="CJ57" i="8"/>
  <c r="Y57" i="8"/>
  <c r="AO57" i="8"/>
  <c r="BE57" i="8"/>
  <c r="BU57" i="8"/>
  <c r="CK57" i="8"/>
  <c r="DX9" i="8"/>
  <c r="Z57" i="8"/>
  <c r="AP57" i="8"/>
  <c r="BF57" i="8"/>
  <c r="BV57" i="8"/>
  <c r="CL57" i="8"/>
  <c r="CP57" i="8"/>
  <c r="AE57" i="8"/>
  <c r="AU57" i="8"/>
  <c r="BK57" i="8"/>
  <c r="CA57" i="8"/>
  <c r="CQ57" i="8"/>
  <c r="BZ57" i="8"/>
  <c r="AF57" i="8"/>
  <c r="AV57" i="8"/>
  <c r="BL57" i="8"/>
  <c r="CB57" i="8"/>
  <c r="CR57" i="8"/>
  <c r="AT57" i="8"/>
  <c r="BJ57" i="8"/>
  <c r="AG57" i="8"/>
  <c r="AW57" i="8"/>
  <c r="BM57" i="8"/>
  <c r="CC57" i="8"/>
  <c r="CS57" i="8"/>
  <c r="AH57" i="8"/>
  <c r="AX57" i="8"/>
  <c r="BN57" i="8"/>
  <c r="CD57" i="8"/>
  <c r="G57" i="5"/>
  <c r="I57" i="5"/>
  <c r="W57" i="5"/>
  <c r="Y57" i="5"/>
  <c r="AA57" i="5"/>
  <c r="AC57" i="5"/>
  <c r="AE57" i="5"/>
  <c r="AF57" i="5"/>
  <c r="AH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H57" i="5"/>
  <c r="J57" i="5"/>
  <c r="X57" i="5"/>
  <c r="Z57" i="5"/>
  <c r="AB57" i="5"/>
  <c r="AD57" i="5"/>
  <c r="AG57" i="5"/>
  <c r="AI57" i="5"/>
  <c r="CL57" i="5"/>
  <c r="CM57" i="5"/>
  <c r="CN57" i="5"/>
  <c r="CO57" i="5"/>
  <c r="CP57" i="5"/>
  <c r="CQ57" i="5"/>
  <c r="CR57" i="5"/>
  <c r="CS57" i="5"/>
  <c r="CT57" i="5"/>
  <c r="DW54" i="5"/>
  <c r="DX54" i="5" s="1"/>
  <c r="DX9" i="5"/>
</calcChain>
</file>

<file path=xl/sharedStrings.xml><?xml version="1.0" encoding="utf-8"?>
<sst xmlns="http://schemas.openxmlformats.org/spreadsheetml/2006/main" count="704" uniqueCount="234">
  <si>
    <t>도급금액: 450,000,000,000원</t>
  </si>
  <si>
    <t>한화 포레나 센트럴파크 신축공사 보할 공정표</t>
  </si>
  <si>
    <t>커미셔닝(Cx) 및 종합 시운전</t>
  </si>
  <si>
    <t>기계실 장비 반입 및 설치</t>
  </si>
  <si>
    <t>커뮤니티·부대시설 인테리어</t>
  </si>
  <si>
    <t>품질점검·사용승인·준공청소</t>
  </si>
  <si>
    <t>통신·홈네트워크·CCTV</t>
  </si>
  <si>
    <t>부대토목·우오수·상하수도</t>
  </si>
  <si>
    <t>조경식재·시설물·놀이터</t>
  </si>
  <si>
    <t>5~24주</t>
  </si>
  <si>
    <t>13~34주</t>
  </si>
  <si>
    <t>29~46주</t>
  </si>
  <si>
    <t>골조공사</t>
  </si>
  <si>
    <t>지정/기초</t>
  </si>
  <si>
    <t>1~12주</t>
  </si>
  <si>
    <t>공통/가설</t>
  </si>
  <si>
    <t>공사금액</t>
  </si>
  <si>
    <t>착공 초기</t>
  </si>
  <si>
    <t>계획기간</t>
  </si>
  <si>
    <t>31~44주</t>
  </si>
  <si>
    <t>17~34주</t>
  </si>
  <si>
    <t>1~8주</t>
  </si>
  <si>
    <t>매트기초</t>
  </si>
  <si>
    <t>B4~B1</t>
  </si>
  <si>
    <t>9~98주</t>
  </si>
  <si>
    <t>37~62주</t>
  </si>
  <si>
    <t>57~78주</t>
  </si>
  <si>
    <t>1~10주</t>
  </si>
  <si>
    <t>49~112주</t>
  </si>
  <si>
    <t>61~102주</t>
  </si>
  <si>
    <t>69~112주</t>
  </si>
  <si>
    <t>69~116주</t>
  </si>
  <si>
    <t>65~108주</t>
  </si>
  <si>
    <t>77~116주</t>
  </si>
  <si>
    <t>77~118주</t>
  </si>
  <si>
    <t>저층부/로비</t>
  </si>
  <si>
    <t>건축마감</t>
  </si>
  <si>
    <t>73~94주</t>
  </si>
  <si>
    <t>세대/공용</t>
  </si>
  <si>
    <t>골조 완료</t>
  </si>
  <si>
    <t>천장/벽체</t>
  </si>
  <si>
    <t>49~116주</t>
  </si>
  <si>
    <t>57~118주</t>
  </si>
  <si>
    <t>소방기계 설비</t>
  </si>
  <si>
    <t>전기/통신</t>
  </si>
  <si>
    <t>81~120주</t>
  </si>
  <si>
    <t>77~120주</t>
  </si>
  <si>
    <t>73~120주</t>
  </si>
  <si>
    <t>93~120주</t>
  </si>
  <si>
    <t>89~120주</t>
  </si>
  <si>
    <t>기계/설비</t>
  </si>
  <si>
    <t>65~120주</t>
  </si>
  <si>
    <t>준공/검사</t>
  </si>
  <si>
    <t>준공/입주지원</t>
  </si>
  <si>
    <t>토목/조경</t>
  </si>
  <si>
    <t>수전/시험</t>
  </si>
  <si>
    <t>45~116주</t>
  </si>
  <si>
    <t>97~120주</t>
  </si>
  <si>
    <t>2</t>
  </si>
  <si>
    <t>비고</t>
  </si>
  <si>
    <t>보할</t>
  </si>
  <si>
    <t>4</t>
  </si>
  <si>
    <t>합계</t>
  </si>
  <si>
    <t>3</t>
  </si>
  <si>
    <t>내용</t>
  </si>
  <si>
    <t>검증</t>
  </si>
  <si>
    <t>구분</t>
  </si>
  <si>
    <t>1</t>
  </si>
  <si>
    <t>토공사</t>
  </si>
  <si>
    <t>2026년 1월</t>
  </si>
  <si>
    <t>2026년 6월</t>
  </si>
  <si>
    <t>2026년 7월</t>
  </si>
  <si>
    <t>2026년 2월</t>
  </si>
  <si>
    <t>2026년 8월</t>
  </si>
  <si>
    <t>2026년 5월</t>
  </si>
  <si>
    <t>2026년 3월</t>
  </si>
  <si>
    <t>2026년 4월</t>
  </si>
  <si>
    <t>골조·마감 연계</t>
  </si>
  <si>
    <t>지상 중층부 골조</t>
  </si>
  <si>
    <t>105~116주</t>
  </si>
  <si>
    <t>지하/옥상/세대</t>
  </si>
  <si>
    <t>욕실/주방/공용부</t>
  </si>
  <si>
    <t>입주 전 품질 점검</t>
  </si>
  <si>
    <t>위생·급수·배수 배관</t>
  </si>
  <si>
    <t>자동제어·BMS 연동</t>
  </si>
  <si>
    <t>난방·환기·공조 설비</t>
  </si>
  <si>
    <t>세대 전기·조명 공사</t>
  </si>
  <si>
    <t>수변전·간선 전기공사</t>
  </si>
  <si>
    <t>도로·주차장 포장</t>
  </si>
  <si>
    <t>전기 시험 및 수전</t>
  </si>
  <si>
    <t>105~120주</t>
  </si>
  <si>
    <t>소방전기·비상방송</t>
  </si>
  <si>
    <t>101~120주</t>
  </si>
  <si>
    <t>111~120주</t>
  </si>
  <si>
    <t>누계 보할공정률</t>
  </si>
  <si>
    <t>월별 보할공정률</t>
  </si>
  <si>
    <t>2025년 1월</t>
    <phoneticPr fontId="13" type="noConversion"/>
  </si>
  <si>
    <t>2025년 2월</t>
    <phoneticPr fontId="13" type="noConversion"/>
  </si>
  <si>
    <t>2025년 3월</t>
    <phoneticPr fontId="13" type="noConversion"/>
  </si>
  <si>
    <t>2025년 4월</t>
    <phoneticPr fontId="13" type="noConversion"/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</si>
  <si>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</si>
  <si>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</si>
  <si>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</si>
  <si>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</si>
  <si>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</si>
  <si>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</si>
  <si>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</si>
  <si>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</si>
  <si>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10~20층</t>
    <phoneticPr fontId="13" type="noConversion"/>
  </si>
  <si>
    <t>1~10층</t>
    <phoneticPr fontId="13" type="noConversion"/>
  </si>
  <si>
    <t>서울특별시 ○○구 | 공동주택 4개동 / 지하 4층~지상 20층 / 2,480세대 / 연면적 328,500㎡</t>
    <phoneticPr fontId="13" type="noConversion"/>
  </si>
  <si>
    <t>목공</t>
    <phoneticPr fontId="13" type="noConversion"/>
  </si>
  <si>
    <t>가구·주방가구</t>
    <phoneticPr fontId="13" type="noConversion"/>
  </si>
  <si>
    <t>도배</t>
    <phoneticPr fontId="13" type="noConversion"/>
  </si>
  <si>
    <t>타일</t>
    <phoneticPr fontId="13" type="noConversion"/>
  </si>
  <si>
    <t>금속·잡철</t>
    <phoneticPr fontId="13" type="noConversion"/>
  </si>
  <si>
    <t>석재</t>
    <phoneticPr fontId="13" type="noConversion"/>
  </si>
  <si>
    <t>유리</t>
    <phoneticPr fontId="13" type="noConversion"/>
  </si>
  <si>
    <t>창호</t>
    <phoneticPr fontId="13" type="noConversion"/>
  </si>
  <si>
    <t>단열</t>
    <phoneticPr fontId="13" type="noConversion"/>
  </si>
  <si>
    <t>방수</t>
    <phoneticPr fontId="13" type="noConversion"/>
  </si>
  <si>
    <t>미장</t>
    <phoneticPr fontId="13" type="noConversion"/>
  </si>
  <si>
    <t>조적</t>
    <phoneticPr fontId="13" type="noConversion"/>
  </si>
  <si>
    <t>옥탑·기계실·골조 마감</t>
    <phoneticPr fontId="13" type="noConversion"/>
  </si>
  <si>
    <t>세대 내장 마감</t>
    <phoneticPr fontId="13" type="noConversion"/>
  </si>
  <si>
    <t>2026년 9월</t>
    <phoneticPr fontId="13" type="noConversion"/>
  </si>
  <si>
    <t>2026년 10월</t>
    <phoneticPr fontId="13" type="noConversion"/>
  </si>
  <si>
    <t>2026년 11월</t>
    <phoneticPr fontId="13" type="noConversion"/>
  </si>
  <si>
    <t>2026년 12월</t>
    <phoneticPr fontId="13" type="noConversion"/>
  </si>
  <si>
    <t>2024년 12월</t>
    <phoneticPr fontId="13" type="noConversion"/>
  </si>
  <si>
    <t>2024년 11월</t>
    <phoneticPr fontId="13" type="noConversion"/>
  </si>
  <si>
    <t>도장</t>
    <phoneticPr fontId="13" type="noConversion"/>
  </si>
  <si>
    <t>전기</t>
    <phoneticPr fontId="13" type="noConversion"/>
  </si>
  <si>
    <t>2027년 2월</t>
    <phoneticPr fontId="13" type="noConversion"/>
  </si>
  <si>
    <t>2027년 1월</t>
    <phoneticPr fontId="13" type="noConversion"/>
  </si>
  <si>
    <t>2027년 3월</t>
    <phoneticPr fontId="13" type="noConversion"/>
  </si>
  <si>
    <t>조적</t>
  </si>
  <si>
    <t>미장</t>
  </si>
  <si>
    <t>방수</t>
  </si>
  <si>
    <t>단열</t>
  </si>
  <si>
    <t>창호</t>
  </si>
  <si>
    <t>유리</t>
  </si>
  <si>
    <t>석재</t>
  </si>
  <si>
    <t>타일</t>
  </si>
  <si>
    <t>도배</t>
  </si>
  <si>
    <t>도장</t>
  </si>
  <si>
    <t>전기</t>
  </si>
  <si>
    <t>목공</t>
  </si>
  <si>
    <t>공통/가설</t>
    <phoneticPr fontId="13" type="noConversion"/>
  </si>
  <si>
    <r>
      <t>공통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가설</t>
    </r>
  </si>
  <si>
    <r>
      <t>현장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개설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가설울타리</t>
    </r>
  </si>
  <si>
    <r>
      <t>착공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초기</t>
    </r>
  </si>
  <si>
    <r>
      <t>가설사무실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가설전기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가설수도</t>
    </r>
  </si>
  <si>
    <r>
      <t>타워크레인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리프트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설치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해체</t>
    </r>
  </si>
  <si>
    <r>
      <t>골조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마감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연계</t>
    </r>
  </si>
  <si>
    <r>
      <t>지장물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철거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부지정리</t>
    </r>
  </si>
  <si>
    <r>
      <t>흙막이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가시설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공사</t>
    </r>
  </si>
  <si>
    <r>
      <t>터파기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토사반출</t>
    </r>
  </si>
  <si>
    <r>
      <t>되메우기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정리</t>
    </r>
  </si>
  <si>
    <r>
      <t>지정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기초</t>
    </r>
  </si>
  <si>
    <r>
      <t>PHC</t>
    </r>
    <r>
      <rPr>
        <sz val="11"/>
        <color rgb="FF000000"/>
        <rFont val="돋움"/>
        <family val="3"/>
        <charset val="129"/>
      </rPr>
      <t>파일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지반보강</t>
    </r>
  </si>
  <si>
    <r>
      <t>기초철근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거푸집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콘크리트</t>
    </r>
  </si>
  <si>
    <r>
      <t>지하층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철근콘크리트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골조</t>
    </r>
  </si>
  <si>
    <r>
      <t>지상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저층부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골조</t>
    </r>
  </si>
  <si>
    <r>
      <t>1~10</t>
    </r>
    <r>
      <rPr>
        <sz val="11"/>
        <color rgb="FF000000"/>
        <rFont val="돋움"/>
        <family val="3"/>
        <charset val="129"/>
      </rPr>
      <t>층</t>
    </r>
  </si>
  <si>
    <r>
      <t>지상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중층부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골조</t>
    </r>
  </si>
  <si>
    <r>
      <t>10~20</t>
    </r>
    <r>
      <rPr>
        <sz val="11"/>
        <color rgb="FF000000"/>
        <rFont val="돋움"/>
        <family val="3"/>
        <charset val="129"/>
      </rPr>
      <t>층</t>
    </r>
  </si>
  <si>
    <r>
      <t>옥탑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기계실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골조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마감</t>
    </r>
  </si>
  <si>
    <r>
      <t>골조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완료</t>
    </r>
  </si>
  <si>
    <r>
      <t>지하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옥상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세대</t>
    </r>
  </si>
  <si>
    <r>
      <t>세대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공용</t>
    </r>
  </si>
  <si>
    <r>
      <t>저층부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로비</t>
    </r>
  </si>
  <si>
    <r>
      <t>금속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잡철</t>
    </r>
  </si>
  <si>
    <r>
      <t>욕실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주방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공용부</t>
    </r>
  </si>
  <si>
    <r>
      <t>천장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벽체</t>
    </r>
  </si>
  <si>
    <r>
      <t>가구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주방가구</t>
    </r>
  </si>
  <si>
    <r>
      <t>세대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내장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마감</t>
    </r>
  </si>
  <si>
    <r>
      <t>입주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품질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점검</t>
    </r>
  </si>
  <si>
    <r>
      <t>커뮤니티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부대시설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인테리어</t>
    </r>
  </si>
  <si>
    <r>
      <t>기계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설비</t>
    </r>
  </si>
  <si>
    <r>
      <t>위생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급수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배수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배관</t>
    </r>
  </si>
  <si>
    <r>
      <t>난방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환기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공조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설비</t>
    </r>
  </si>
  <si>
    <r>
      <t>소방기계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설비</t>
    </r>
  </si>
  <si>
    <r>
      <t>기계실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장비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반입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설치</t>
    </r>
  </si>
  <si>
    <r>
      <t>자동제어</t>
    </r>
    <r>
      <rPr>
        <sz val="11"/>
        <color rgb="FF000000"/>
        <rFont val="Carlito"/>
      </rPr>
      <t xml:space="preserve">·BMS </t>
    </r>
    <r>
      <rPr>
        <sz val="11"/>
        <color rgb="FF000000"/>
        <rFont val="돋움"/>
        <family val="3"/>
        <charset val="129"/>
      </rPr>
      <t>연동</t>
    </r>
  </si>
  <si>
    <r>
      <t>전기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통신</t>
    </r>
  </si>
  <si>
    <r>
      <t>수변전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간선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전기공사</t>
    </r>
  </si>
  <si>
    <r>
      <t>세대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공사</t>
    </r>
  </si>
  <si>
    <r>
      <t>통신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홈네트워크</t>
    </r>
    <r>
      <rPr>
        <sz val="11"/>
        <color rgb="FF000000"/>
        <rFont val="Carlito"/>
      </rPr>
      <t>·CCTV</t>
    </r>
  </si>
  <si>
    <r>
      <t>소방전기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비상방송</t>
    </r>
  </si>
  <si>
    <r>
      <t>전기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시험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수전</t>
    </r>
  </si>
  <si>
    <r>
      <t>수전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시험</t>
    </r>
  </si>
  <si>
    <r>
      <t>토목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조경</t>
    </r>
  </si>
  <si>
    <r>
      <t>부대토목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우오수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상하수도</t>
    </r>
  </si>
  <si>
    <r>
      <t>도로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포장</t>
    </r>
  </si>
  <si>
    <r>
      <t>조경식재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시설물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놀이터</t>
    </r>
  </si>
  <si>
    <r>
      <t>준공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검사</t>
    </r>
  </si>
  <si>
    <r>
      <t>커미셔닝</t>
    </r>
    <r>
      <rPr>
        <sz val="11"/>
        <color rgb="FF000000"/>
        <rFont val="Carlito"/>
      </rPr>
      <t xml:space="preserve">(Cx)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종합</t>
    </r>
    <r>
      <rPr>
        <sz val="11"/>
        <color rgb="FF000000"/>
        <rFont val="Carlito"/>
      </rPr>
      <t xml:space="preserve"> </t>
    </r>
    <r>
      <rPr>
        <sz val="11"/>
        <color rgb="FF000000"/>
        <rFont val="돋움"/>
        <family val="3"/>
        <charset val="129"/>
      </rPr>
      <t>시운전</t>
    </r>
  </si>
  <si>
    <r>
      <t>품질점검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사용승인</t>
    </r>
    <r>
      <rPr>
        <sz val="11"/>
        <color rgb="FF000000"/>
        <rFont val="Carlito"/>
      </rPr>
      <t>·</t>
    </r>
    <r>
      <rPr>
        <sz val="11"/>
        <color rgb="FF000000"/>
        <rFont val="돋움"/>
        <family val="3"/>
        <charset val="129"/>
      </rPr>
      <t>준공청소</t>
    </r>
  </si>
  <si>
    <r>
      <t>준공</t>
    </r>
    <r>
      <rPr>
        <sz val="11"/>
        <color rgb="FF000000"/>
        <rFont val="Carlito"/>
      </rPr>
      <t>/</t>
    </r>
    <r>
      <rPr>
        <sz val="11"/>
        <color rgb="FF000000"/>
        <rFont val="돋움"/>
        <family val="3"/>
        <charset val="129"/>
      </rPr>
      <t>입주지원</t>
    </r>
  </si>
  <si>
    <t>공사기간: 2024.10 ~ 2027.03</t>
    <phoneticPr fontId="13" type="noConversion"/>
  </si>
  <si>
    <t>2024년 10월</t>
    <phoneticPr fontId="13" type="noConversion"/>
  </si>
  <si>
    <t>현장 개설 및 가설울타리</t>
    <phoneticPr fontId="13" type="noConversion"/>
  </si>
  <si>
    <t>가설사무실·가설전기·가설수도</t>
    <phoneticPr fontId="13" type="noConversion"/>
  </si>
  <si>
    <t>타워크레인·리프트 설치/해체</t>
    <phoneticPr fontId="13" type="noConversion"/>
  </si>
  <si>
    <t>토공사</t>
    <phoneticPr fontId="13" type="noConversion"/>
  </si>
  <si>
    <t>지정/기초</t>
    <phoneticPr fontId="13" type="noConversion"/>
  </si>
  <si>
    <t>골조공사</t>
    <phoneticPr fontId="13" type="noConversion"/>
  </si>
  <si>
    <t>지장물 철거 및 부지정리</t>
    <phoneticPr fontId="13" type="noConversion"/>
  </si>
  <si>
    <t>흙막이·가시설 공사</t>
    <phoneticPr fontId="13" type="noConversion"/>
  </si>
  <si>
    <t>터파기 및 토사반출</t>
    <phoneticPr fontId="13" type="noConversion"/>
  </si>
  <si>
    <t>되메우기 및 지하 외부 정리</t>
    <phoneticPr fontId="13" type="noConversion"/>
  </si>
  <si>
    <t>PHC파일 및 지반보강</t>
    <phoneticPr fontId="13" type="noConversion"/>
  </si>
  <si>
    <t>기초철근·거푸집·콘크리트</t>
    <phoneticPr fontId="13" type="noConversion"/>
  </si>
  <si>
    <t>지하층 철근콘크리트 골조</t>
    <phoneticPr fontId="13" type="noConversion"/>
  </si>
  <si>
    <t>지상 저층부 골조</t>
    <phoneticPr fontId="13" type="noConversion"/>
  </si>
  <si>
    <t>커뮤니티·부대시설 인테리어</t>
    <phoneticPr fontId="13" type="noConversion"/>
  </si>
  <si>
    <t>기계/설비</t>
    <phoneticPr fontId="13" type="noConversion"/>
  </si>
  <si>
    <t>전기/통신</t>
    <phoneticPr fontId="13" type="noConversion"/>
  </si>
  <si>
    <t>토목/조경</t>
    <phoneticPr fontId="13" type="noConversion"/>
  </si>
  <si>
    <t>위생·급수·배수 배관</t>
    <phoneticPr fontId="13" type="noConversion"/>
  </si>
  <si>
    <t>자동제어·BMS 연동</t>
    <phoneticPr fontId="13" type="noConversion"/>
  </si>
  <si>
    <t>기계실 장비 반입 및 설치</t>
    <phoneticPr fontId="13" type="noConversion"/>
  </si>
  <si>
    <t>소방기계 설비</t>
    <phoneticPr fontId="13" type="noConversion"/>
  </si>
  <si>
    <t>난방·환기·공조 설비</t>
    <phoneticPr fontId="13" type="noConversion"/>
  </si>
  <si>
    <t>수변전·간선 전기공사</t>
    <phoneticPr fontId="13" type="noConversion"/>
  </si>
  <si>
    <t>통신·홈네트워크·CCTV</t>
    <phoneticPr fontId="13" type="noConversion"/>
  </si>
  <si>
    <t>소방전기·비상방송</t>
    <phoneticPr fontId="13" type="noConversion"/>
  </si>
  <si>
    <t>전기 시험 및 수전</t>
    <phoneticPr fontId="13" type="noConversion"/>
  </si>
  <si>
    <t>부대토목·우오수·상하수도</t>
    <phoneticPr fontId="13" type="noConversion"/>
  </si>
  <si>
    <t>도로·주차장 포장</t>
    <phoneticPr fontId="13" type="noConversion"/>
  </si>
  <si>
    <t>조경식재·시설물·놀이터</t>
    <phoneticPr fontId="13" type="noConversion"/>
  </si>
  <si>
    <t>커미셔닝(Cx) 및 종합 시운전</t>
    <phoneticPr fontId="13" type="noConversion"/>
  </si>
  <si>
    <t>품질점검·사용승인·준공청소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</si>
</sst>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18"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8"/>
      <color rgb="FF000000"/>
      <name val="Carlito"/>
    </font>
    <font>
      <b/>
      <sz val="11"/>
      <color rgb="FFFFFFFF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111827"/>
      <name val="굴림"/>
      <family val="3"/>
      <charset val="129"/>
    </font>
    <font>
      <b/>
      <sz val="11"/>
      <color rgb="FF9A3412"/>
      <name val="굴림"/>
      <family val="3"/>
      <charset val="129"/>
    </font>
    <font>
      <b/>
      <sz val="8"/>
      <color rgb="FFC2410C"/>
      <name val="굴림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b/>
      <sz val="16"/>
      <color rgb="FFFFFFFF"/>
      <name val="굴림"/>
      <family val="3"/>
      <charset val="129"/>
    </font>
    <font>
      <sz val="10"/>
      <color rgb="FF374151"/>
      <name val="굴림"/>
      <family val="3"/>
      <charset val="129"/>
    </font>
    <font>
      <sz val="8"/>
      <name val="돋움"/>
      <family val="3"/>
      <charset val="129"/>
    </font>
    <font>
      <sz val="11"/>
      <name val="Carlito"/>
    </font>
    <font>
      <sz val="8"/>
      <name val="Carlito"/>
    </font>
    <font>
      <sz val="11"/>
      <color rgb="FF000000"/>
      <name val="돋움"/>
      <family val="3"/>
      <charset val="129"/>
    </font>
    <font>
      <sz val="8"/>
      <color rgb="FFFF0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B72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4" fillId="0" borderId="0"/>
    <xf numFmtId="0" fontId="14" fillId="0" borderId="0"/>
    <xf numFmtId="41" fontId="1" fillId="0" borderId="0" applyFont="0" applyFill="0" applyBorder="0" applyAlignment="0" applyProtection="0">
      <alignment vertical="center"/>
    </xf>
  </cellStyleXfs>
  <cellXfs count="41">
    <xf numFmtId="0" fontId="0" fillId="0" borderId="0" xfId="0" applyAlignment="1"/>
    <xf numFmtId="0" fontId="2" fillId="3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  <xf numFmtId="3" fontId="1" fillId="0" borderId="0" xfId="1" applyNumberFormat="1"/>
    <xf numFmtId="3" fontId="2" fillId="3" borderId="0" xfId="1" applyNumberFormat="1" applyFont="1" applyFill="1" applyAlignment="1">
      <alignment horizontal="center"/>
    </xf>
    <xf numFmtId="10" fontId="1" fillId="0" borderId="0" xfId="1" applyNumberFormat="1"/>
    <xf numFmtId="10" fontId="2" fillId="3" borderId="0" xfId="1" applyNumberFormat="1" applyFont="1" applyFill="1" applyAlignment="1">
      <alignment horizontal="center"/>
    </xf>
    <xf numFmtId="10" fontId="3" fillId="5" borderId="0" xfId="1" applyNumberFormat="1" applyFont="1" applyFill="1" applyAlignment="1">
      <alignment horizontal="center"/>
    </xf>
    <xf numFmtId="10" fontId="3" fillId="6" borderId="0" xfId="1" applyNumberFormat="1" applyFont="1" applyFill="1" applyAlignment="1">
      <alignment horizontal="center"/>
    </xf>
    <xf numFmtId="0" fontId="4" fillId="2" borderId="0" xfId="1" applyFont="1" applyFill="1" applyAlignment="1">
      <alignment horizontal="center" vertical="center" wrapText="1"/>
    </xf>
    <xf numFmtId="0" fontId="5" fillId="0" borderId="0" xfId="1" applyFont="1"/>
    <xf numFmtId="0" fontId="6" fillId="7" borderId="0" xfId="1" applyFont="1" applyFill="1" applyAlignment="1">
      <alignment horizontal="center" vertical="center"/>
    </xf>
    <xf numFmtId="0" fontId="7" fillId="8" borderId="0" xfId="1" applyFont="1" applyFill="1" applyAlignment="1">
      <alignment horizontal="center" vertical="center" wrapText="1"/>
    </xf>
    <xf numFmtId="0" fontId="8" fillId="8" borderId="0" xfId="1" applyFont="1" applyFill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10" fontId="10" fillId="0" borderId="0" xfId="1" applyNumberFormat="1" applyFont="1" applyAlignment="1">
      <alignment horizontal="center" vertical="center"/>
    </xf>
    <xf numFmtId="10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1" fillId="9" borderId="0" xfId="1" applyFont="1" applyFill="1" applyAlignment="1">
      <alignment horizontal="left" vertical="center"/>
    </xf>
    <xf numFmtId="0" fontId="12" fillId="0" borderId="0" xfId="1" applyFont="1" applyAlignment="1">
      <alignment horizontal="left"/>
    </xf>
    <xf numFmtId="10" fontId="15" fillId="0" borderId="0" xfId="3" applyNumberFormat="1" applyFont="1" applyAlignment="1">
      <alignment horizontal="center" vertical="center"/>
    </xf>
    <xf numFmtId="0" fontId="16" fillId="0" borderId="0" xfId="0" applyFont="1" applyAlignment="1"/>
    <xf numFmtId="41" fontId="0" fillId="0" borderId="0" xfId="4" applyFont="1" applyAlignment="1"/>
    <xf numFmtId="10" fontId="0" fillId="0" borderId="0" xfId="0" applyNumberFormat="1" applyAlignment="1"/>
    <xf numFmtId="10" fontId="17" fillId="10" borderId="0" xfId="3" applyNumberFormat="1" applyFont="1" applyFill="1" applyAlignment="1">
      <alignment horizontal="center" vertical="center"/>
    </xf>
    <xf numFmtId="10" fontId="15" fillId="0" borderId="1" xfId="3" applyNumberFormat="1" applyFont="1" applyBorder="1" applyAlignment="1">
      <alignment horizontal="center" vertical="center"/>
    </xf>
    <xf numFmtId="0" fontId="0" fillId="11" borderId="0" xfId="0" applyFill="1" applyAlignment="1"/>
    <xf numFmtId="0" fontId="6" fillId="11" borderId="0" xfId="1" applyFont="1" applyFill="1" applyAlignment="1">
      <alignment horizontal="center" vertical="center"/>
    </xf>
    <xf numFmtId="0" fontId="8" fillId="11" borderId="0" xfId="1" applyFont="1" applyFill="1" applyAlignment="1">
      <alignment horizontal="center" vertical="center" wrapText="1"/>
    </xf>
    <xf numFmtId="10" fontId="10" fillId="11" borderId="0" xfId="1" applyNumberFormat="1" applyFont="1" applyFill="1" applyAlignment="1">
      <alignment horizontal="center" vertical="center"/>
    </xf>
    <xf numFmtId="10" fontId="3" fillId="11" borderId="0" xfId="1" applyNumberFormat="1" applyFont="1" applyFill="1" applyAlignment="1">
      <alignment horizontal="center"/>
    </xf>
    <xf numFmtId="10" fontId="15" fillId="11" borderId="0" xfId="3" applyNumberFormat="1" applyFont="1" applyFill="1" applyAlignment="1">
      <alignment horizontal="center" vertical="center"/>
    </xf>
    <xf numFmtId="10" fontId="15" fillId="11" borderId="1" xfId="3" applyNumberFormat="1" applyFont="1" applyFill="1" applyBorder="1" applyAlignment="1">
      <alignment horizontal="center" vertical="center"/>
    </xf>
    <xf numFmtId="0" fontId="9" fillId="11" borderId="0" xfId="1" applyFont="1" applyFill="1" applyAlignment="1">
      <alignment vertical="center" wrapText="1"/>
    </xf>
    <xf numFmtId="41" fontId="0" fillId="11" borderId="0" xfId="4" applyFont="1" applyFill="1" applyAlignment="1"/>
    <xf numFmtId="10" fontId="0" fillId="11" borderId="0" xfId="0" applyNumberFormat="1" applyFill="1" applyAlignment="1"/>
    <xf numFmtId="10" fontId="9" fillId="11" borderId="0" xfId="1" applyNumberFormat="1" applyFont="1" applyFill="1" applyAlignment="1">
      <alignment horizontal="center" vertical="center"/>
    </xf>
    <xf numFmtId="0" fontId="9" fillId="11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11" fillId="9" borderId="0" xfId="1" applyFont="1" applyFill="1" applyAlignment="1">
      <alignment horizontal="left" vertical="center"/>
    </xf>
    <xf numFmtId="0" fontId="12" fillId="0" borderId="0" xfId="1" applyFont="1" applyAlignment="1">
      <alignment horizontal="left"/>
    </xf>
  </cellXfs>
  <cellStyles count="5">
    <cellStyle name="Normal" xfId="1" xr:uid="{00000000-0005-0000-0000-000001000000}"/>
    <cellStyle name="Normal 2" xfId="3" xr:uid="{7FC7FA48-2B97-4BF8-99A3-F7DE0159CA82}"/>
    <cellStyle name="쉼표 [0]" xfId="4" builtinId="6"/>
    <cellStyle name="표준" xfId="0" builtinId="0"/>
    <cellStyle name="표준 2" xfId="2" xr:uid="{5596E6A0-BF23-4E0A-B325-BBF76170875C}"/>
  </cellStyles>
  <dxfs count="18">
    <dxf>
      <font>
        <b/>
        <color rgb="FF991B1B"/>
      </font>
      <fill>
        <patternFill patternType="solid">
          <bgColor rgb="FFFECACA"/>
        </patternFill>
      </fill>
    </dxf>
    <dxf>
      <font>
        <color rgb="FF1E40AF"/>
      </font>
      <fill>
        <patternFill patternType="solid">
          <bgColor rgb="FFBFDBFE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1E40AF"/>
      </font>
      <fill>
        <patternFill patternType="solid">
          <bgColor rgb="FFBFDBF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Light Style 1 - Accent 1" table="0" count="7" xr9:uid="{00000000-0011-0000-FFFF-FFFF010000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30C2-7169-401F-954E-0D69A29ED738}">
  <dimension ref="A1:DY57"/>
  <sheetViews>
    <sheetView tabSelected="1" topLeftCell="A26" zoomScale="85" zoomScaleNormal="85" zoomScaleSheetLayoutView="80" workbookViewId="0">
      <selection activeCell="AW51" activeCellId="11" sqref="A31:XFD31 A32:XFD32 A33:XFD33 A34:XFD34 A37:XFD37 A44:XFD44 A45:XFD45 A46:XFD46 A47:XFD47 A48:XFD48 A49:XFD49 A51:XFD51"/>
    </sheetView>
  </sheetViews>
  <sheetFormatPr defaultColWidth="8.75" defaultRowHeight="14.25"/>
  <cols>
    <col min="1" max="1" width="13" customWidth="1"/>
    <col min="2" max="2" width="26" customWidth="1"/>
    <col min="3" max="3" width="15" customWidth="1"/>
    <col min="4" max="4" width="8" customWidth="1"/>
    <col min="5" max="6" width="18" customWidth="1"/>
    <col min="7" max="7" width="4" style="26" customWidth="1"/>
    <col min="8" max="10" width="4" customWidth="1"/>
    <col min="11" max="11" width="4" style="26" customWidth="1"/>
    <col min="12" max="14" width="4" customWidth="1"/>
    <col min="15" max="15" width="4" style="26" customWidth="1"/>
    <col min="16" max="18" width="4" customWidth="1"/>
    <col min="19" max="19" width="4" style="26" customWidth="1"/>
    <col min="20" max="22" width="4" customWidth="1"/>
    <col min="23" max="23" width="4" style="26" customWidth="1"/>
    <col min="24" max="26" width="4" customWidth="1"/>
    <col min="27" max="27" width="4" style="26" customWidth="1"/>
    <col min="28" max="30" width="4" customWidth="1"/>
    <col min="31" max="31" width="4" style="26" customWidth="1"/>
    <col min="32" max="34" width="4" customWidth="1"/>
    <col min="35" max="35" width="4" style="26" customWidth="1"/>
    <col min="36" max="38" width="4" customWidth="1"/>
    <col min="39" max="39" width="4" style="26" customWidth="1"/>
    <col min="40" max="42" width="4" customWidth="1"/>
    <col min="43" max="43" width="4" style="26" customWidth="1"/>
    <col min="44" max="46" width="4" customWidth="1"/>
    <col min="47" max="47" width="4" style="26" customWidth="1"/>
    <col min="48" max="50" width="4" customWidth="1"/>
    <col min="51" max="51" width="4" style="26" customWidth="1"/>
    <col min="52" max="54" width="4" customWidth="1"/>
    <col min="55" max="55" width="4" style="26" customWidth="1"/>
    <col min="56" max="58" width="4" customWidth="1"/>
    <col min="59" max="59" width="4" style="26" customWidth="1"/>
    <col min="60" max="62" width="4" customWidth="1"/>
    <col min="63" max="63" width="4" style="26" customWidth="1"/>
    <col min="64" max="66" width="4" customWidth="1"/>
    <col min="67" max="67" width="4" style="26" customWidth="1"/>
    <col min="68" max="70" width="4" customWidth="1"/>
    <col min="71" max="71" width="4" style="26" customWidth="1"/>
    <col min="72" max="74" width="4" customWidth="1"/>
    <col min="75" max="75" width="4" style="26" customWidth="1"/>
    <col min="76" max="78" width="4" customWidth="1"/>
    <col min="79" max="79" width="4" style="26" customWidth="1"/>
    <col min="80" max="82" width="4" customWidth="1"/>
    <col min="83" max="83" width="4" style="26" customWidth="1"/>
    <col min="84" max="86" width="4" customWidth="1"/>
    <col min="87" max="87" width="4" style="26" customWidth="1"/>
    <col min="88" max="90" width="4" customWidth="1"/>
    <col min="91" max="91" width="4" style="26" customWidth="1"/>
    <col min="92" max="94" width="4" customWidth="1"/>
    <col min="95" max="95" width="4" style="26" customWidth="1"/>
    <col min="96" max="98" width="4" customWidth="1"/>
    <col min="99" max="99" width="4" style="26" customWidth="1"/>
    <col min="100" max="102" width="4" customWidth="1"/>
    <col min="103" max="103" width="4" style="26" customWidth="1"/>
    <col min="104" max="106" width="4" customWidth="1"/>
    <col min="107" max="107" width="4" style="26" customWidth="1"/>
    <col min="108" max="110" width="4" customWidth="1"/>
    <col min="111" max="111" width="4" style="26" customWidth="1"/>
    <col min="112" max="114" width="4" customWidth="1"/>
    <col min="115" max="115" width="4" style="26" customWidth="1"/>
    <col min="116" max="118" width="4" customWidth="1"/>
    <col min="119" max="119" width="4" style="26" customWidth="1"/>
    <col min="120" max="122" width="4" customWidth="1"/>
    <col min="123" max="123" width="4" style="26" customWidth="1"/>
    <col min="124" max="126" width="4" customWidth="1"/>
    <col min="127" max="129" width="12" customWidth="1"/>
  </cols>
  <sheetData>
    <row r="1" spans="1:129" ht="26.1" customHeight="1">
      <c r="A1" s="39" t="s">
        <v>1</v>
      </c>
      <c r="B1" s="39"/>
      <c r="C1" s="39"/>
      <c r="D1" s="39"/>
      <c r="E1" s="39"/>
      <c r="F1" s="18"/>
    </row>
    <row r="2" spans="1:129">
      <c r="A2" s="40" t="s">
        <v>110</v>
      </c>
      <c r="B2" s="40"/>
      <c r="C2" s="40"/>
      <c r="D2" s="40"/>
      <c r="E2" s="40"/>
      <c r="F2" s="19"/>
    </row>
    <row r="3" spans="1:129">
      <c r="A3" s="40" t="s">
        <v>200</v>
      </c>
      <c r="B3" s="40"/>
      <c r="C3" s="40"/>
      <c r="D3" s="40"/>
      <c r="E3" s="40"/>
      <c r="F3" s="19"/>
    </row>
    <row r="4" spans="1:129">
      <c r="A4" s="40" t="s">
        <v>0</v>
      </c>
      <c r="B4" s="40"/>
      <c r="C4" s="40"/>
      <c r="D4" s="40"/>
      <c r="E4" s="40"/>
      <c r="F4" s="19"/>
    </row>
    <row r="6" spans="1:129" ht="21.95" customHeight="1">
      <c r="A6" s="9" t="s">
        <v>66</v>
      </c>
      <c r="B6" s="9" t="s">
        <v>64</v>
      </c>
      <c r="C6" s="9" t="s">
        <v>16</v>
      </c>
      <c r="D6" s="9" t="s">
        <v>60</v>
      </c>
      <c r="E6" s="9" t="s">
        <v>59</v>
      </c>
      <c r="F6" s="9"/>
      <c r="G6" s="38" t="s">
        <v>201</v>
      </c>
      <c r="H6" s="38"/>
      <c r="I6" s="38"/>
      <c r="J6" s="38"/>
      <c r="K6" s="38" t="s">
        <v>130</v>
      </c>
      <c r="L6" s="38"/>
      <c r="M6" s="38"/>
      <c r="N6" s="38"/>
      <c r="O6" s="38" t="s">
        <v>129</v>
      </c>
      <c r="P6" s="38"/>
      <c r="Q6" s="38"/>
      <c r="R6" s="38"/>
      <c r="S6" s="38" t="s">
        <v>96</v>
      </c>
      <c r="T6" s="38"/>
      <c r="U6" s="38"/>
      <c r="V6" s="38"/>
      <c r="W6" s="38" t="s">
        <v>97</v>
      </c>
      <c r="X6" s="38"/>
      <c r="Y6" s="38"/>
      <c r="Z6" s="38"/>
      <c r="AA6" s="38" t="s">
        <v>98</v>
      </c>
      <c r="AB6" s="38"/>
      <c r="AC6" s="38"/>
      <c r="AD6" s="38"/>
      <c r="AE6" s="38" t="s">
        <v>99</v>
      </c>
      <c r="AF6" s="38"/>
      <c r="AG6" s="38"/>
      <c r="AH6" s="38"/>
      <c r="AI6" s="38" t="s">
        <v>100</v>
      </c>
      <c r="AJ6" s="38"/>
      <c r="AK6" s="38"/>
      <c r="AL6" s="38"/>
      <c r="AM6" s="38" t="s">
        <v>101</v>
      </c>
      <c r="AN6" s="38"/>
      <c r="AO6" s="38"/>
      <c r="AP6" s="38"/>
      <c r="AQ6" s="38" t="s">
        <v>102</v>
      </c>
      <c r="AR6" s="38"/>
      <c r="AS6" s="38"/>
      <c r="AT6" s="38"/>
      <c r="AU6" s="38" t="s">
        <v>103</v>
      </c>
      <c r="AV6" s="38"/>
      <c r="AW6" s="38"/>
      <c r="AX6" s="38"/>
      <c r="AY6" s="38" t="s">
        <v>104</v>
      </c>
      <c r="AZ6" s="38"/>
      <c r="BA6" s="38"/>
      <c r="BB6" s="38"/>
      <c r="BC6" s="38" t="s">
        <v>105</v>
      </c>
      <c r="BD6" s="38"/>
      <c r="BE6" s="38"/>
      <c r="BF6" s="38"/>
      <c r="BG6" s="38" t="s">
        <v>106</v>
      </c>
      <c r="BH6" s="38"/>
      <c r="BI6" s="38"/>
      <c r="BJ6" s="38"/>
      <c r="BK6" s="38" t="s">
        <v>107</v>
      </c>
      <c r="BL6" s="38"/>
      <c r="BM6" s="38"/>
      <c r="BN6" s="38"/>
      <c r="BO6" s="38" t="s">
        <v>69</v>
      </c>
      <c r="BP6" s="38"/>
      <c r="BQ6" s="38"/>
      <c r="BR6" s="38"/>
      <c r="BS6" s="38" t="s">
        <v>72</v>
      </c>
      <c r="BT6" s="38"/>
      <c r="BU6" s="38"/>
      <c r="BV6" s="38"/>
      <c r="BW6" s="38" t="s">
        <v>75</v>
      </c>
      <c r="BX6" s="38"/>
      <c r="BY6" s="38"/>
      <c r="BZ6" s="38"/>
      <c r="CA6" s="38" t="s">
        <v>76</v>
      </c>
      <c r="CB6" s="38"/>
      <c r="CC6" s="38"/>
      <c r="CD6" s="38"/>
      <c r="CE6" s="38" t="s">
        <v>74</v>
      </c>
      <c r="CF6" s="38"/>
      <c r="CG6" s="38"/>
      <c r="CH6" s="38"/>
      <c r="CI6" s="38" t="s">
        <v>70</v>
      </c>
      <c r="CJ6" s="38"/>
      <c r="CK6" s="38"/>
      <c r="CL6" s="38"/>
      <c r="CM6" s="38" t="s">
        <v>71</v>
      </c>
      <c r="CN6" s="38"/>
      <c r="CO6" s="38"/>
      <c r="CP6" s="38"/>
      <c r="CQ6" s="38" t="s">
        <v>73</v>
      </c>
      <c r="CR6" s="38"/>
      <c r="CS6" s="38"/>
      <c r="CT6" s="38"/>
      <c r="CU6" s="38" t="s">
        <v>125</v>
      </c>
      <c r="CV6" s="38"/>
      <c r="CW6" s="38"/>
      <c r="CX6" s="38"/>
      <c r="CY6" s="38" t="s">
        <v>126</v>
      </c>
      <c r="CZ6" s="38"/>
      <c r="DA6" s="38"/>
      <c r="DB6" s="38"/>
      <c r="DC6" s="38" t="s">
        <v>127</v>
      </c>
      <c r="DD6" s="38"/>
      <c r="DE6" s="38"/>
      <c r="DF6" s="38"/>
      <c r="DG6" s="38" t="s">
        <v>128</v>
      </c>
      <c r="DH6" s="38"/>
      <c r="DI6" s="38"/>
      <c r="DJ6" s="38"/>
      <c r="DK6" s="38" t="s">
        <v>134</v>
      </c>
      <c r="DL6" s="38"/>
      <c r="DM6" s="38"/>
      <c r="DN6" s="38"/>
      <c r="DO6" s="38" t="s">
        <v>133</v>
      </c>
      <c r="DP6" s="38"/>
      <c r="DQ6" s="38"/>
      <c r="DR6" s="38"/>
      <c r="DS6" s="38" t="s">
        <v>135</v>
      </c>
      <c r="DT6" s="38"/>
      <c r="DU6" s="38"/>
      <c r="DV6" s="38"/>
      <c r="DW6" s="9" t="s">
        <v>62</v>
      </c>
      <c r="DX6" s="9" t="s">
        <v>65</v>
      </c>
      <c r="DY6" s="9" t="s">
        <v>18</v>
      </c>
    </row>
    <row r="7" spans="1:129" ht="21.95" customHeight="1">
      <c r="A7" s="10"/>
      <c r="B7" s="10"/>
      <c r="C7" s="10"/>
      <c r="D7" s="10"/>
      <c r="E7" s="10"/>
      <c r="F7" s="10"/>
      <c r="G7" s="27" t="s">
        <v>67</v>
      </c>
      <c r="H7" s="11" t="s">
        <v>58</v>
      </c>
      <c r="I7" s="11" t="s">
        <v>63</v>
      </c>
      <c r="J7" s="11" t="s">
        <v>61</v>
      </c>
      <c r="K7" s="27" t="s">
        <v>67</v>
      </c>
      <c r="L7" s="11" t="s">
        <v>58</v>
      </c>
      <c r="M7" s="11" t="s">
        <v>63</v>
      </c>
      <c r="N7" s="11" t="s">
        <v>61</v>
      </c>
      <c r="O7" s="27" t="s">
        <v>67</v>
      </c>
      <c r="P7" s="11" t="s">
        <v>58</v>
      </c>
      <c r="Q7" s="11" t="s">
        <v>63</v>
      </c>
      <c r="R7" s="11" t="s">
        <v>61</v>
      </c>
      <c r="S7" s="27" t="s">
        <v>67</v>
      </c>
      <c r="T7" s="11" t="s">
        <v>58</v>
      </c>
      <c r="U7" s="11" t="s">
        <v>63</v>
      </c>
      <c r="V7" s="11" t="s">
        <v>61</v>
      </c>
      <c r="W7" s="27" t="s">
        <v>67</v>
      </c>
      <c r="X7" s="11" t="s">
        <v>58</v>
      </c>
      <c r="Y7" s="11" t="s">
        <v>63</v>
      </c>
      <c r="Z7" s="11" t="s">
        <v>61</v>
      </c>
      <c r="AA7" s="27" t="s">
        <v>67</v>
      </c>
      <c r="AB7" s="11" t="s">
        <v>58</v>
      </c>
      <c r="AC7" s="11" t="s">
        <v>63</v>
      </c>
      <c r="AD7" s="11" t="s">
        <v>61</v>
      </c>
      <c r="AE7" s="27" t="s">
        <v>67</v>
      </c>
      <c r="AF7" s="11" t="s">
        <v>58</v>
      </c>
      <c r="AG7" s="11" t="s">
        <v>63</v>
      </c>
      <c r="AH7" s="11" t="s">
        <v>61</v>
      </c>
      <c r="AI7" s="27" t="s">
        <v>67</v>
      </c>
      <c r="AJ7" s="11" t="s">
        <v>58</v>
      </c>
      <c r="AK7" s="11" t="s">
        <v>63</v>
      </c>
      <c r="AL7" s="11" t="s">
        <v>61</v>
      </c>
      <c r="AM7" s="27" t="s">
        <v>67</v>
      </c>
      <c r="AN7" s="11" t="s">
        <v>58</v>
      </c>
      <c r="AO7" s="11" t="s">
        <v>63</v>
      </c>
      <c r="AP7" s="11" t="s">
        <v>61</v>
      </c>
      <c r="AQ7" s="27" t="s">
        <v>67</v>
      </c>
      <c r="AR7" s="11" t="s">
        <v>58</v>
      </c>
      <c r="AS7" s="11" t="s">
        <v>63</v>
      </c>
      <c r="AT7" s="11" t="s">
        <v>61</v>
      </c>
      <c r="AU7" s="27" t="s">
        <v>67</v>
      </c>
      <c r="AV7" s="11" t="s">
        <v>58</v>
      </c>
      <c r="AW7" s="11" t="s">
        <v>63</v>
      </c>
      <c r="AX7" s="11" t="s">
        <v>61</v>
      </c>
      <c r="AY7" s="27" t="s">
        <v>67</v>
      </c>
      <c r="AZ7" s="11" t="s">
        <v>58</v>
      </c>
      <c r="BA7" s="11" t="s">
        <v>63</v>
      </c>
      <c r="BB7" s="11" t="s">
        <v>61</v>
      </c>
      <c r="BC7" s="27" t="s">
        <v>67</v>
      </c>
      <c r="BD7" s="11" t="s">
        <v>58</v>
      </c>
      <c r="BE7" s="11" t="s">
        <v>63</v>
      </c>
      <c r="BF7" s="11" t="s">
        <v>61</v>
      </c>
      <c r="BG7" s="27" t="s">
        <v>67</v>
      </c>
      <c r="BH7" s="11" t="s">
        <v>58</v>
      </c>
      <c r="BI7" s="11" t="s">
        <v>63</v>
      </c>
      <c r="BJ7" s="11" t="s">
        <v>61</v>
      </c>
      <c r="BK7" s="27" t="s">
        <v>67</v>
      </c>
      <c r="BL7" s="11" t="s">
        <v>58</v>
      </c>
      <c r="BM7" s="11" t="s">
        <v>63</v>
      </c>
      <c r="BN7" s="11" t="s">
        <v>61</v>
      </c>
      <c r="BO7" s="27" t="s">
        <v>67</v>
      </c>
      <c r="BP7" s="11" t="s">
        <v>58</v>
      </c>
      <c r="BQ7" s="11" t="s">
        <v>63</v>
      </c>
      <c r="BR7" s="11" t="s">
        <v>61</v>
      </c>
      <c r="BS7" s="27" t="s">
        <v>67</v>
      </c>
      <c r="BT7" s="11" t="s">
        <v>58</v>
      </c>
      <c r="BU7" s="11" t="s">
        <v>63</v>
      </c>
      <c r="BV7" s="11" t="s">
        <v>61</v>
      </c>
      <c r="BW7" s="27" t="s">
        <v>67</v>
      </c>
      <c r="BX7" s="11" t="s">
        <v>58</v>
      </c>
      <c r="BY7" s="11" t="s">
        <v>63</v>
      </c>
      <c r="BZ7" s="11" t="s">
        <v>61</v>
      </c>
      <c r="CA7" s="27" t="s">
        <v>67</v>
      </c>
      <c r="CB7" s="11" t="s">
        <v>58</v>
      </c>
      <c r="CC7" s="11" t="s">
        <v>63</v>
      </c>
      <c r="CD7" s="11" t="s">
        <v>61</v>
      </c>
      <c r="CE7" s="27" t="s">
        <v>67</v>
      </c>
      <c r="CF7" s="11" t="s">
        <v>58</v>
      </c>
      <c r="CG7" s="11" t="s">
        <v>63</v>
      </c>
      <c r="CH7" s="11" t="s">
        <v>61</v>
      </c>
      <c r="CI7" s="27" t="s">
        <v>67</v>
      </c>
      <c r="CJ7" s="11" t="s">
        <v>58</v>
      </c>
      <c r="CK7" s="11" t="s">
        <v>63</v>
      </c>
      <c r="CL7" s="11" t="s">
        <v>61</v>
      </c>
      <c r="CM7" s="27" t="s">
        <v>67</v>
      </c>
      <c r="CN7" s="11" t="s">
        <v>58</v>
      </c>
      <c r="CO7" s="11" t="s">
        <v>63</v>
      </c>
      <c r="CP7" s="11" t="s">
        <v>61</v>
      </c>
      <c r="CQ7" s="27" t="s">
        <v>67</v>
      </c>
      <c r="CR7" s="11" t="s">
        <v>58</v>
      </c>
      <c r="CS7" s="11" t="s">
        <v>63</v>
      </c>
      <c r="CT7" s="11" t="s">
        <v>61</v>
      </c>
      <c r="CU7" s="27" t="s">
        <v>67</v>
      </c>
      <c r="CV7" s="11" t="s">
        <v>58</v>
      </c>
      <c r="CW7" s="11" t="s">
        <v>63</v>
      </c>
      <c r="CX7" s="11" t="s">
        <v>61</v>
      </c>
      <c r="CY7" s="27" t="s">
        <v>67</v>
      </c>
      <c r="CZ7" s="11" t="s">
        <v>58</v>
      </c>
      <c r="DA7" s="11" t="s">
        <v>63</v>
      </c>
      <c r="DB7" s="11" t="s">
        <v>61</v>
      </c>
      <c r="DC7" s="27" t="s">
        <v>67</v>
      </c>
      <c r="DD7" s="11" t="s">
        <v>58</v>
      </c>
      <c r="DE7" s="11" t="s">
        <v>63</v>
      </c>
      <c r="DF7" s="11" t="s">
        <v>61</v>
      </c>
      <c r="DG7" s="27" t="s">
        <v>67</v>
      </c>
      <c r="DH7" s="11" t="s">
        <v>58</v>
      </c>
      <c r="DI7" s="11" t="s">
        <v>63</v>
      </c>
      <c r="DJ7" s="11" t="s">
        <v>61</v>
      </c>
      <c r="DK7" s="27" t="s">
        <v>67</v>
      </c>
      <c r="DL7" s="11" t="s">
        <v>58</v>
      </c>
      <c r="DM7" s="11" t="s">
        <v>63</v>
      </c>
      <c r="DN7" s="11" t="s">
        <v>61</v>
      </c>
      <c r="DO7" s="27" t="s">
        <v>67</v>
      </c>
      <c r="DP7" s="11" t="s">
        <v>58</v>
      </c>
      <c r="DQ7" s="11" t="s">
        <v>63</v>
      </c>
      <c r="DR7" s="11" t="s">
        <v>61</v>
      </c>
      <c r="DS7" s="27" t="s">
        <v>67</v>
      </c>
      <c r="DT7" s="11" t="s">
        <v>58</v>
      </c>
      <c r="DU7" s="11" t="s">
        <v>63</v>
      </c>
      <c r="DV7" s="11" t="s">
        <v>61</v>
      </c>
      <c r="DW7" s="9"/>
      <c r="DX7" s="9"/>
      <c r="DY7" s="9"/>
    </row>
    <row r="8" spans="1:129" ht="42" customHeight="1">
      <c r="A8" s="12"/>
      <c r="B8" s="12"/>
      <c r="C8" s="12"/>
      <c r="D8" s="12"/>
      <c r="E8" s="12"/>
      <c r="F8" s="12"/>
      <c r="G8" s="28"/>
      <c r="H8" s="13"/>
      <c r="I8" s="13"/>
      <c r="J8" s="13"/>
      <c r="K8" s="28"/>
      <c r="L8" s="13"/>
      <c r="M8" s="13"/>
      <c r="N8" s="13"/>
      <c r="O8" s="28"/>
      <c r="P8" s="13"/>
      <c r="Q8" s="13"/>
      <c r="R8" s="13"/>
      <c r="S8" s="28"/>
      <c r="T8" s="13"/>
      <c r="U8" s="13"/>
      <c r="V8" s="13"/>
      <c r="W8" s="28"/>
      <c r="X8" s="13"/>
      <c r="Y8" s="13"/>
      <c r="Z8" s="13"/>
      <c r="AA8" s="28"/>
      <c r="AB8" s="13"/>
      <c r="AC8" s="13"/>
      <c r="AD8" s="13"/>
      <c r="AE8" s="28"/>
      <c r="AF8" s="13"/>
      <c r="AG8" s="13"/>
      <c r="AH8" s="13"/>
      <c r="AI8" s="28"/>
      <c r="AJ8" s="13"/>
      <c r="AK8" s="13"/>
      <c r="AL8" s="13"/>
      <c r="AM8" s="28"/>
      <c r="AN8" s="13"/>
      <c r="AO8" s="13"/>
      <c r="AP8" s="13"/>
      <c r="AQ8" s="28"/>
      <c r="AR8" s="13"/>
      <c r="AS8" s="13"/>
      <c r="AT8" s="13"/>
      <c r="AU8" s="28"/>
      <c r="AV8" s="13"/>
      <c r="AW8" s="13"/>
      <c r="AX8" s="13"/>
      <c r="AY8" s="28"/>
      <c r="AZ8" s="13"/>
      <c r="BA8" s="13"/>
      <c r="BB8" s="13"/>
      <c r="BC8" s="28"/>
      <c r="BD8" s="13"/>
      <c r="BE8" s="13"/>
      <c r="BF8" s="13"/>
      <c r="BG8" s="28"/>
      <c r="BH8" s="13"/>
      <c r="BI8" s="13"/>
      <c r="BJ8" s="13"/>
      <c r="BK8" s="28"/>
      <c r="BL8" s="13"/>
      <c r="BM8" s="13"/>
      <c r="BN8" s="13"/>
      <c r="BO8" s="28"/>
      <c r="BP8" s="13"/>
      <c r="BQ8" s="13"/>
      <c r="BR8" s="13"/>
      <c r="BS8" s="28"/>
      <c r="BT8" s="13"/>
      <c r="BU8" s="13"/>
      <c r="BV8" s="13"/>
      <c r="BW8" s="28"/>
      <c r="BX8" s="13"/>
      <c r="BY8" s="13"/>
      <c r="BZ8" s="13"/>
      <c r="CA8" s="28"/>
      <c r="CB8" s="13"/>
      <c r="CC8" s="13"/>
      <c r="CD8" s="13"/>
      <c r="CE8" s="28"/>
      <c r="CF8" s="13"/>
      <c r="CG8" s="13"/>
      <c r="CH8" s="13"/>
      <c r="CI8" s="28"/>
      <c r="CJ8" s="13"/>
      <c r="CK8" s="13"/>
      <c r="CL8" s="13"/>
      <c r="CM8" s="28"/>
      <c r="CN8" s="13"/>
      <c r="CO8" s="13"/>
      <c r="CP8" s="13"/>
      <c r="CQ8" s="28"/>
      <c r="CR8" s="13"/>
      <c r="CS8" s="13"/>
      <c r="CT8" s="13"/>
      <c r="CU8" s="28"/>
      <c r="CV8" s="13"/>
      <c r="CW8" s="13"/>
      <c r="CX8" s="13"/>
      <c r="CY8" s="28"/>
      <c r="CZ8" s="13"/>
      <c r="DA8" s="13"/>
      <c r="DB8" s="13"/>
      <c r="DC8" s="28"/>
      <c r="DD8" s="13"/>
      <c r="DE8" s="13"/>
      <c r="DF8" s="13"/>
      <c r="DG8" s="28"/>
      <c r="DH8" s="13"/>
      <c r="DI8" s="13"/>
      <c r="DJ8" s="13"/>
      <c r="DK8" s="28"/>
      <c r="DL8" s="13"/>
      <c r="DM8" s="13"/>
      <c r="DN8" s="13"/>
      <c r="DO8" s="28"/>
      <c r="DP8" s="13"/>
      <c r="DQ8" s="13"/>
      <c r="DR8" s="13"/>
      <c r="DS8" s="28"/>
      <c r="DT8" s="13"/>
      <c r="DU8" s="13"/>
      <c r="DV8" s="13"/>
      <c r="DW8" s="10"/>
      <c r="DX8" s="10"/>
      <c r="DY8" s="10"/>
    </row>
    <row r="9" spans="1:129" ht="21.95" customHeight="1">
      <c r="A9" s="14" t="s">
        <v>148</v>
      </c>
      <c r="B9" s="14" t="s">
        <v>202</v>
      </c>
      <c r="C9" s="22">
        <v>3267000000</v>
      </c>
      <c r="D9" s="23">
        <v>7.26E-3</v>
      </c>
      <c r="E9" s="14" t="s">
        <v>17</v>
      </c>
      <c r="F9" s="15"/>
      <c r="G9" s="29">
        <v>9.075E-4</v>
      </c>
      <c r="H9" s="15">
        <v>9.075E-4</v>
      </c>
      <c r="I9" s="15">
        <v>9.075E-4</v>
      </c>
      <c r="J9" s="15">
        <v>9.075E-4</v>
      </c>
      <c r="K9" s="29"/>
      <c r="L9" s="15"/>
      <c r="M9" s="15"/>
      <c r="N9" s="15"/>
      <c r="O9" s="29"/>
      <c r="P9" s="15"/>
      <c r="Q9" s="15"/>
      <c r="R9" s="15"/>
      <c r="S9" s="29"/>
      <c r="T9" s="15"/>
      <c r="U9" s="15"/>
      <c r="V9" s="15"/>
      <c r="W9" s="29"/>
      <c r="X9" s="15"/>
      <c r="Y9" s="15"/>
      <c r="Z9" s="15"/>
      <c r="AA9" s="29"/>
      <c r="AB9" s="15"/>
      <c r="AC9" s="15"/>
      <c r="AD9" s="15"/>
      <c r="AE9" s="29"/>
      <c r="AF9" s="15"/>
      <c r="AG9" s="15"/>
      <c r="AH9" s="15"/>
      <c r="AI9" s="29"/>
      <c r="AJ9" s="15"/>
      <c r="AK9" s="15"/>
      <c r="AL9" s="15"/>
      <c r="AM9" s="29"/>
      <c r="AN9" s="15"/>
      <c r="AO9" s="15"/>
      <c r="AP9" s="15"/>
      <c r="AQ9" s="29"/>
      <c r="AR9" s="15"/>
      <c r="AS9" s="15"/>
      <c r="AT9" s="15"/>
      <c r="AU9" s="29"/>
      <c r="AV9" s="15"/>
      <c r="AW9" s="15"/>
      <c r="AX9" s="15"/>
      <c r="AY9" s="29"/>
      <c r="AZ9" s="15"/>
      <c r="BA9" s="15"/>
      <c r="BB9" s="15"/>
      <c r="BC9" s="29"/>
      <c r="BD9" s="15"/>
      <c r="BE9" s="15"/>
      <c r="BF9" s="15"/>
      <c r="BG9" s="29"/>
      <c r="BH9" s="15"/>
      <c r="BI9" s="15"/>
      <c r="BJ9" s="15"/>
      <c r="BK9" s="29"/>
      <c r="BL9" s="15"/>
      <c r="BM9" s="15"/>
      <c r="BN9" s="15"/>
      <c r="BO9" s="29"/>
      <c r="BP9" s="15"/>
      <c r="BQ9" s="15"/>
      <c r="BR9" s="15"/>
      <c r="BS9" s="29"/>
      <c r="BT9" s="15"/>
      <c r="BU9" s="15"/>
      <c r="BV9" s="15"/>
      <c r="BW9" s="29"/>
      <c r="BX9" s="15"/>
      <c r="BY9" s="15"/>
      <c r="BZ9" s="15"/>
      <c r="CA9" s="29"/>
      <c r="CB9" s="15"/>
      <c r="CC9" s="15"/>
      <c r="CD9" s="15"/>
      <c r="CE9" s="29"/>
      <c r="CF9" s="15"/>
      <c r="CG9" s="15"/>
      <c r="CH9" s="15"/>
      <c r="CI9" s="29"/>
      <c r="CV9" s="15"/>
      <c r="CW9" s="15"/>
      <c r="CX9" s="15"/>
      <c r="CY9" s="29"/>
      <c r="CZ9" s="15"/>
      <c r="DA9" s="15"/>
      <c r="DB9" s="15"/>
      <c r="DC9" s="29"/>
      <c r="DD9" s="15"/>
      <c r="DE9" s="15"/>
      <c r="DF9" s="15"/>
      <c r="DG9" s="29"/>
      <c r="DH9" s="15"/>
      <c r="DI9" s="15"/>
      <c r="DJ9" s="15"/>
      <c r="DK9" s="29"/>
      <c r="DL9" s="15"/>
      <c r="DM9" s="15"/>
      <c r="DN9" s="15"/>
      <c r="DO9" s="29"/>
      <c r="DP9" s="15"/>
      <c r="DQ9" s="15"/>
      <c r="DR9" s="15"/>
      <c r="DS9" s="29"/>
      <c r="DT9" s="15"/>
      <c r="DU9" s="15"/>
      <c r="DV9" s="15"/>
      <c r="DW9" s="16">
        <f t="shared" ref="DW9:DW21" si="0">SUM(F9:CH9)</f>
        <v>3.63E-3</v>
      </c>
      <c r="DX9" s="17" t="str">
        <f t="shared" ref="DX9:DX52" si="1">IF(ABS(DW9-D9)&lt;0.0001,"OK","확인")</f>
        <v>확인</v>
      </c>
      <c r="DY9" s="17" t="s">
        <v>21</v>
      </c>
    </row>
    <row r="10" spans="1:129" ht="21.95" customHeight="1">
      <c r="A10" s="14" t="s">
        <v>148</v>
      </c>
      <c r="B10" s="14" t="s">
        <v>203</v>
      </c>
      <c r="C10" s="22">
        <v>2858400000</v>
      </c>
      <c r="D10" s="23">
        <v>6.352E-3</v>
      </c>
      <c r="E10" s="14"/>
      <c r="F10" s="15"/>
      <c r="G10" s="29"/>
      <c r="H10" s="15"/>
      <c r="I10" s="15">
        <v>9.075E-4</v>
      </c>
      <c r="J10" s="15">
        <v>9.075E-4</v>
      </c>
      <c r="K10" s="29">
        <v>9.075E-4</v>
      </c>
      <c r="L10" s="15">
        <v>9.075E-4</v>
      </c>
      <c r="M10" s="15">
        <v>9.075E-4</v>
      </c>
      <c r="N10" s="15">
        <v>9.075E-4</v>
      </c>
      <c r="O10" s="29">
        <v>9.075E-4</v>
      </c>
      <c r="P10" s="15">
        <v>9.075E-4</v>
      </c>
      <c r="Q10" s="15">
        <v>9.075E-4</v>
      </c>
      <c r="R10" s="15">
        <v>9.075E-4</v>
      </c>
      <c r="S10" s="29">
        <v>9.075E-4</v>
      </c>
      <c r="T10" s="15">
        <v>9.075E-4</v>
      </c>
      <c r="U10" s="15"/>
      <c r="V10" s="15"/>
      <c r="W10" s="29"/>
      <c r="X10" s="15"/>
      <c r="Y10" s="15"/>
      <c r="Z10" s="15"/>
      <c r="AA10" s="29"/>
      <c r="AB10" s="15"/>
      <c r="AC10" s="15"/>
      <c r="AD10" s="15"/>
      <c r="AE10" s="29"/>
      <c r="AF10" s="15"/>
      <c r="AG10" s="15"/>
      <c r="AH10" s="15"/>
      <c r="AI10" s="29"/>
      <c r="AJ10" s="15"/>
      <c r="AK10" s="15"/>
      <c r="AL10" s="15"/>
      <c r="AM10" s="29"/>
      <c r="AN10" s="15"/>
      <c r="AO10" s="15"/>
      <c r="AP10" s="15"/>
      <c r="AQ10" s="29"/>
      <c r="AR10" s="15"/>
      <c r="AS10" s="15"/>
      <c r="AT10" s="15"/>
      <c r="AU10" s="29"/>
      <c r="AV10" s="15"/>
      <c r="AW10" s="15"/>
      <c r="AX10" s="15"/>
      <c r="AY10" s="29"/>
      <c r="AZ10" s="15"/>
      <c r="BA10" s="15"/>
      <c r="BB10" s="15"/>
      <c r="BC10" s="29"/>
      <c r="BD10" s="15"/>
      <c r="BE10" s="15"/>
      <c r="BF10" s="15"/>
      <c r="BG10" s="29"/>
      <c r="BH10" s="15"/>
      <c r="BI10" s="15"/>
      <c r="BJ10" s="15"/>
      <c r="BK10" s="29"/>
      <c r="BL10" s="15"/>
      <c r="BM10" s="15"/>
      <c r="BN10" s="15"/>
      <c r="BO10" s="29"/>
      <c r="BP10" s="15"/>
      <c r="BQ10" s="15"/>
      <c r="BR10" s="15"/>
      <c r="BS10" s="29"/>
      <c r="BT10" s="15"/>
      <c r="BU10" s="15"/>
      <c r="BV10" s="15"/>
      <c r="BW10" s="29"/>
      <c r="BX10" s="15"/>
      <c r="BY10" s="15"/>
      <c r="BZ10" s="15"/>
      <c r="CA10" s="29"/>
      <c r="CB10" s="15"/>
      <c r="CC10" s="15"/>
      <c r="CD10" s="15"/>
      <c r="CE10" s="29"/>
      <c r="CF10" s="15"/>
      <c r="CG10" s="15"/>
      <c r="CH10" s="15"/>
      <c r="CI10" s="29"/>
      <c r="CV10" s="15"/>
      <c r="CW10" s="15"/>
      <c r="CX10" s="15"/>
      <c r="CY10" s="29"/>
      <c r="CZ10" s="15"/>
      <c r="DA10" s="15"/>
      <c r="DB10" s="15"/>
      <c r="DC10" s="29"/>
      <c r="DD10" s="15"/>
      <c r="DE10" s="15"/>
      <c r="DF10" s="15"/>
      <c r="DG10" s="29"/>
      <c r="DH10" s="15"/>
      <c r="DI10" s="15"/>
      <c r="DJ10" s="15"/>
      <c r="DK10" s="29"/>
      <c r="DL10" s="15"/>
      <c r="DM10" s="15"/>
      <c r="DN10" s="15"/>
      <c r="DO10" s="29"/>
      <c r="DP10" s="15"/>
      <c r="DQ10" s="15"/>
      <c r="DR10" s="15"/>
      <c r="DS10" s="29"/>
      <c r="DT10" s="15"/>
      <c r="DU10" s="15"/>
      <c r="DV10" s="15"/>
      <c r="DW10" s="16">
        <f t="shared" si="0"/>
        <v>1.0890000000000002E-2</v>
      </c>
      <c r="DX10" s="17" t="str">
        <f t="shared" si="1"/>
        <v>확인</v>
      </c>
      <c r="DY10" s="17" t="s">
        <v>14</v>
      </c>
    </row>
    <row r="11" spans="1:129" ht="21.95" customHeight="1">
      <c r="A11" s="14" t="s">
        <v>15</v>
      </c>
      <c r="B11" s="14" t="s">
        <v>204</v>
      </c>
      <c r="C11" s="22">
        <v>4083300000</v>
      </c>
      <c r="D11" s="23">
        <v>9.0740000000000005E-3</v>
      </c>
      <c r="E11" s="14" t="s">
        <v>77</v>
      </c>
      <c r="F11" s="15"/>
      <c r="G11" s="29"/>
      <c r="H11" s="15"/>
      <c r="I11" s="15">
        <v>9.075E-4</v>
      </c>
      <c r="J11" s="15">
        <v>9.075E-4</v>
      </c>
      <c r="K11" s="29">
        <v>9.075E-4</v>
      </c>
      <c r="L11" s="15">
        <v>9.075E-4</v>
      </c>
      <c r="M11" s="15">
        <v>9.075E-4</v>
      </c>
      <c r="N11" s="15">
        <v>9.075E-4</v>
      </c>
      <c r="O11" s="29">
        <v>9.075E-4</v>
      </c>
      <c r="P11" s="15">
        <v>9.075E-4</v>
      </c>
      <c r="Q11" s="15">
        <v>9.075E-4</v>
      </c>
      <c r="R11" s="15">
        <v>9.075E-4</v>
      </c>
      <c r="S11" s="29">
        <v>9.075E-4</v>
      </c>
      <c r="T11" s="15">
        <v>9.075E-4</v>
      </c>
      <c r="U11" s="15">
        <v>9.075E-4</v>
      </c>
      <c r="V11" s="15">
        <v>9.075E-4</v>
      </c>
      <c r="W11" s="29">
        <v>9.075E-4</v>
      </c>
      <c r="X11" s="15">
        <v>9.075E-4</v>
      </c>
      <c r="Y11" s="15">
        <v>9.075E-4</v>
      </c>
      <c r="Z11" s="15">
        <v>9.075E-4</v>
      </c>
      <c r="AA11" s="29">
        <v>9.075E-4</v>
      </c>
      <c r="AB11" s="15">
        <v>9.075E-4</v>
      </c>
      <c r="AC11" s="15">
        <v>9.075E-4</v>
      </c>
      <c r="AD11" s="15">
        <v>9.075E-4</v>
      </c>
      <c r="AE11" s="29">
        <v>9.075E-4</v>
      </c>
      <c r="AF11" s="15">
        <v>9.075E-4</v>
      </c>
      <c r="AG11" s="15">
        <v>9.075E-4</v>
      </c>
      <c r="AH11" s="15">
        <v>9.075E-4</v>
      </c>
      <c r="AI11" s="29">
        <v>9.075E-4</v>
      </c>
      <c r="AJ11" s="15">
        <v>9.075E-4</v>
      </c>
      <c r="AK11" s="15">
        <v>9.075E-4</v>
      </c>
      <c r="AL11" s="15">
        <v>9.075E-4</v>
      </c>
      <c r="AM11" s="29">
        <v>9.075E-4</v>
      </c>
      <c r="AN11" s="15">
        <v>9.075E-4</v>
      </c>
      <c r="AO11" s="15">
        <v>9.075E-4</v>
      </c>
      <c r="AP11" s="15">
        <v>9.075E-4</v>
      </c>
      <c r="AQ11" s="29">
        <v>9.075E-4</v>
      </c>
      <c r="AR11" s="15">
        <v>9.075E-4</v>
      </c>
      <c r="AS11" s="15">
        <v>9.075E-4</v>
      </c>
      <c r="AT11" s="15">
        <v>9.075E-4</v>
      </c>
      <c r="AU11" s="29">
        <v>9.075E-4</v>
      </c>
      <c r="AV11" s="15">
        <v>9.075E-4</v>
      </c>
      <c r="AW11" s="15">
        <v>9.075E-4</v>
      </c>
      <c r="AX11" s="15">
        <v>9.075E-4</v>
      </c>
      <c r="AY11" s="29">
        <v>9.075E-4</v>
      </c>
      <c r="AZ11" s="15">
        <v>9.075E-4</v>
      </c>
      <c r="BA11" s="15">
        <v>9.075E-4</v>
      </c>
      <c r="BB11" s="15">
        <v>9.075E-4</v>
      </c>
      <c r="BC11" s="29">
        <v>9.075E-4</v>
      </c>
      <c r="BD11" s="15">
        <v>9.075E-4</v>
      </c>
      <c r="BE11" s="15">
        <v>9.075E-4</v>
      </c>
      <c r="BF11" s="15">
        <v>9.075E-4</v>
      </c>
      <c r="BG11" s="29">
        <v>9.075E-4</v>
      </c>
      <c r="BH11" s="15">
        <v>9.075E-4</v>
      </c>
      <c r="BI11" s="15">
        <v>9.075E-4</v>
      </c>
      <c r="BJ11" s="15">
        <v>9.075E-4</v>
      </c>
      <c r="BK11" s="29">
        <v>9.075E-4</v>
      </c>
      <c r="BL11" s="15">
        <v>9.075E-4</v>
      </c>
      <c r="BM11" s="15">
        <v>9.075E-4</v>
      </c>
      <c r="BN11" s="15">
        <v>9.075E-4</v>
      </c>
      <c r="BO11" s="29">
        <v>9.075E-4</v>
      </c>
      <c r="BP11" s="15">
        <v>9.075E-4</v>
      </c>
      <c r="BQ11" s="15">
        <v>9.075E-4</v>
      </c>
      <c r="BR11" s="15">
        <v>9.075E-4</v>
      </c>
      <c r="BS11" s="29">
        <v>9.075E-4</v>
      </c>
      <c r="BT11" s="15">
        <v>9.075E-4</v>
      </c>
      <c r="BU11" s="15">
        <v>9.075E-4</v>
      </c>
      <c r="BV11" s="15">
        <v>9.075E-4</v>
      </c>
      <c r="BW11" s="29">
        <v>9.075E-4</v>
      </c>
      <c r="BX11" s="15">
        <v>9.075E-4</v>
      </c>
      <c r="BY11" s="15">
        <v>9.075E-4</v>
      </c>
      <c r="BZ11" s="15">
        <v>9.075E-4</v>
      </c>
      <c r="CA11" s="29">
        <v>9.075E-4</v>
      </c>
      <c r="CB11" s="15">
        <v>9.075E-4</v>
      </c>
      <c r="CC11" s="15">
        <v>9.075E-4</v>
      </c>
      <c r="CD11" s="15">
        <v>9.075E-4</v>
      </c>
      <c r="CE11" s="29">
        <v>9.075E-4</v>
      </c>
      <c r="CF11" s="15">
        <v>9.075E-4</v>
      </c>
      <c r="CG11" s="15">
        <v>9.075E-4</v>
      </c>
      <c r="CH11" s="15">
        <v>9.075E-4</v>
      </c>
      <c r="CI11" s="29"/>
      <c r="CV11" s="15"/>
      <c r="CW11" s="15"/>
      <c r="CX11" s="15"/>
      <c r="CY11" s="29"/>
      <c r="CZ11" s="15"/>
      <c r="DA11" s="15"/>
      <c r="DB11" s="15"/>
      <c r="DC11" s="29"/>
      <c r="DD11" s="15"/>
      <c r="DE11" s="15"/>
      <c r="DF11" s="15"/>
      <c r="DG11" s="29"/>
      <c r="DH11" s="15"/>
      <c r="DI11" s="15"/>
      <c r="DJ11" s="15"/>
      <c r="DK11" s="29"/>
      <c r="DL11" s="15"/>
      <c r="DM11" s="15"/>
      <c r="DN11" s="15"/>
      <c r="DO11" s="29"/>
      <c r="DP11" s="15"/>
      <c r="DQ11" s="15"/>
      <c r="DR11" s="15"/>
      <c r="DS11" s="29"/>
      <c r="DT11" s="15"/>
      <c r="DU11" s="15"/>
      <c r="DV11" s="15"/>
      <c r="DW11" s="16">
        <f t="shared" si="0"/>
        <v>7.0784999999999987E-2</v>
      </c>
      <c r="DX11" s="17" t="str">
        <f t="shared" si="1"/>
        <v>확인</v>
      </c>
      <c r="DY11" s="17" t="s">
        <v>24</v>
      </c>
    </row>
    <row r="12" spans="1:129" ht="21.95" customHeight="1">
      <c r="A12" s="14" t="s">
        <v>205</v>
      </c>
      <c r="B12" s="14" t="s">
        <v>208</v>
      </c>
      <c r="C12" s="22">
        <v>3267000000</v>
      </c>
      <c r="D12" s="23">
        <v>7.26E-3</v>
      </c>
      <c r="E12" s="14"/>
      <c r="F12" s="15"/>
      <c r="G12" s="29">
        <v>7.2599999999999997E-4</v>
      </c>
      <c r="H12" s="15">
        <v>9.075E-4</v>
      </c>
      <c r="I12" s="15">
        <v>9.075E-4</v>
      </c>
      <c r="J12" s="15">
        <v>9.075E-4</v>
      </c>
      <c r="K12" s="29">
        <v>9.075E-4</v>
      </c>
      <c r="L12" s="15">
        <v>9.075E-4</v>
      </c>
      <c r="M12" s="15">
        <v>9.075E-4</v>
      </c>
      <c r="N12" s="15">
        <v>9.075E-4</v>
      </c>
      <c r="O12" s="29">
        <v>9.075E-4</v>
      </c>
      <c r="P12" s="15">
        <v>9.075E-4</v>
      </c>
      <c r="Q12" s="15">
        <v>9.075E-4</v>
      </c>
      <c r="R12" s="15">
        <v>9.075E-4</v>
      </c>
      <c r="S12" s="29">
        <v>9.075E-4</v>
      </c>
      <c r="T12" s="15">
        <v>9.075E-4</v>
      </c>
      <c r="U12" s="15">
        <v>9.075E-4</v>
      </c>
      <c r="V12" s="15">
        <v>9.075E-4</v>
      </c>
      <c r="W12" s="29"/>
      <c r="X12" s="15"/>
      <c r="Y12" s="15"/>
      <c r="Z12" s="15"/>
      <c r="AA12" s="29"/>
      <c r="AB12" s="15"/>
      <c r="AC12" s="15"/>
      <c r="AD12" s="15"/>
      <c r="AE12" s="29"/>
      <c r="AF12" s="15"/>
      <c r="AG12" s="15"/>
      <c r="AH12" s="15"/>
      <c r="AI12" s="29"/>
      <c r="AJ12" s="15"/>
      <c r="AK12" s="15"/>
      <c r="AL12" s="15"/>
      <c r="AM12" s="29"/>
      <c r="AN12" s="15"/>
      <c r="AO12" s="15"/>
      <c r="AP12" s="15"/>
      <c r="AQ12" s="29"/>
      <c r="AR12" s="15"/>
      <c r="AS12" s="15"/>
      <c r="AT12" s="15"/>
      <c r="AU12" s="29"/>
      <c r="AV12" s="15"/>
      <c r="AW12" s="15"/>
      <c r="AX12" s="15"/>
      <c r="AY12" s="29"/>
      <c r="AZ12" s="15"/>
      <c r="BA12" s="15"/>
      <c r="BB12" s="15"/>
      <c r="BC12" s="29"/>
      <c r="BD12" s="15"/>
      <c r="BE12" s="15"/>
      <c r="BF12" s="15"/>
      <c r="BG12" s="29"/>
      <c r="BH12" s="15"/>
      <c r="BI12" s="15"/>
      <c r="BJ12" s="15"/>
      <c r="BK12" s="29"/>
      <c r="BL12" s="15"/>
      <c r="BM12" s="15"/>
      <c r="BN12" s="15"/>
      <c r="BO12" s="29"/>
      <c r="BP12" s="15"/>
      <c r="BQ12" s="15"/>
      <c r="BR12" s="15"/>
      <c r="BS12" s="29"/>
      <c r="BT12" s="15"/>
      <c r="BU12" s="15"/>
      <c r="BV12" s="15"/>
      <c r="BW12" s="29"/>
      <c r="BX12" s="15"/>
      <c r="BY12" s="15"/>
      <c r="BZ12" s="15"/>
      <c r="CA12" s="29"/>
      <c r="CB12" s="15"/>
      <c r="CC12" s="15"/>
      <c r="CD12" s="15"/>
      <c r="CE12" s="29"/>
      <c r="CF12" s="15"/>
      <c r="CG12" s="15"/>
      <c r="CH12" s="15"/>
      <c r="CI12" s="29"/>
      <c r="CV12" s="15"/>
      <c r="CW12" s="15"/>
      <c r="CX12" s="15"/>
      <c r="CY12" s="29"/>
      <c r="CZ12" s="15"/>
      <c r="DA12" s="15"/>
      <c r="DB12" s="15"/>
      <c r="DC12" s="29"/>
      <c r="DD12" s="15"/>
      <c r="DE12" s="15"/>
      <c r="DF12" s="15"/>
      <c r="DG12" s="29"/>
      <c r="DH12" s="15"/>
      <c r="DI12" s="15"/>
      <c r="DJ12" s="15"/>
      <c r="DK12" s="29"/>
      <c r="DL12" s="15"/>
      <c r="DM12" s="15"/>
      <c r="DN12" s="15"/>
      <c r="DO12" s="29"/>
      <c r="DP12" s="15"/>
      <c r="DQ12" s="15"/>
      <c r="DR12" s="15"/>
      <c r="DS12" s="29"/>
      <c r="DT12" s="15"/>
      <c r="DU12" s="15"/>
      <c r="DV12" s="15"/>
      <c r="DW12" s="16">
        <f t="shared" si="0"/>
        <v>1.4338500000000002E-2</v>
      </c>
      <c r="DX12" s="17" t="str">
        <f t="shared" si="1"/>
        <v>확인</v>
      </c>
      <c r="DY12" s="17" t="s">
        <v>27</v>
      </c>
    </row>
    <row r="13" spans="1:129" ht="21.95" customHeight="1">
      <c r="A13" s="14" t="s">
        <v>68</v>
      </c>
      <c r="B13" s="14" t="s">
        <v>209</v>
      </c>
      <c r="C13" s="22">
        <v>8983800000</v>
      </c>
      <c r="D13" s="23">
        <v>1.9963999999999999E-2</v>
      </c>
      <c r="E13" s="14"/>
      <c r="F13" s="20"/>
      <c r="G13" s="29"/>
      <c r="H13" s="15"/>
      <c r="I13" s="20">
        <v>9.9820000000000009E-4</v>
      </c>
      <c r="J13" s="20">
        <v>9.9820000000000009E-4</v>
      </c>
      <c r="K13" s="31">
        <v>9.9820000000000009E-4</v>
      </c>
      <c r="L13" s="20">
        <v>9.9820000000000009E-4</v>
      </c>
      <c r="M13" s="20">
        <v>9.9820000000000009E-4</v>
      </c>
      <c r="N13" s="20">
        <v>9.9820000000000009E-4</v>
      </c>
      <c r="O13" s="31">
        <v>9.9820000000000009E-4</v>
      </c>
      <c r="P13" s="20">
        <v>9.9820000000000009E-4</v>
      </c>
      <c r="Q13" s="20">
        <v>9.9820000000000009E-4</v>
      </c>
      <c r="R13" s="20">
        <v>9.9820000000000009E-4</v>
      </c>
      <c r="S13" s="31">
        <v>9.9820000000000009E-4</v>
      </c>
      <c r="T13" s="20">
        <v>9.9820000000000009E-4</v>
      </c>
      <c r="U13" s="20">
        <v>9.9820000000000009E-4</v>
      </c>
      <c r="V13" s="20">
        <v>9.9820000000000009E-4</v>
      </c>
      <c r="W13" s="31">
        <v>9.9820000000000009E-4</v>
      </c>
      <c r="X13" s="20">
        <v>9.9820000000000009E-4</v>
      </c>
      <c r="Y13" s="20">
        <v>9.9820000000000009E-4</v>
      </c>
      <c r="Z13" s="20">
        <v>9.9820000000000009E-4</v>
      </c>
      <c r="AA13" s="31">
        <v>9.9820000000000009E-4</v>
      </c>
      <c r="AB13" s="20">
        <v>9.9820000000000009E-4</v>
      </c>
      <c r="AC13" s="15"/>
      <c r="AD13" s="15"/>
      <c r="AE13" s="29"/>
      <c r="AF13" s="15"/>
      <c r="AG13" s="15"/>
      <c r="AH13" s="15"/>
      <c r="AI13" s="29"/>
      <c r="AJ13" s="15"/>
      <c r="AK13" s="15"/>
      <c r="AL13" s="15"/>
      <c r="AM13" s="29"/>
      <c r="AN13" s="15"/>
      <c r="AO13" s="15"/>
      <c r="AP13" s="15"/>
      <c r="AQ13" s="29"/>
      <c r="AR13" s="15"/>
      <c r="AS13" s="15"/>
      <c r="AT13" s="15"/>
      <c r="AU13" s="29"/>
      <c r="AV13" s="15"/>
      <c r="AW13" s="15"/>
      <c r="AX13" s="15"/>
      <c r="AY13" s="29"/>
      <c r="AZ13" s="15"/>
      <c r="BA13" s="15"/>
      <c r="BB13" s="15"/>
      <c r="BC13" s="29"/>
      <c r="BD13" s="15"/>
      <c r="BE13" s="15"/>
      <c r="BF13" s="15"/>
      <c r="BG13" s="29"/>
      <c r="BH13" s="15"/>
      <c r="BI13" s="15"/>
      <c r="BJ13" s="15"/>
      <c r="BK13" s="29"/>
      <c r="BL13" s="15"/>
      <c r="BM13" s="15"/>
      <c r="BN13" s="15"/>
      <c r="BO13" s="29"/>
      <c r="BP13" s="15"/>
      <c r="BQ13" s="15"/>
      <c r="BR13" s="15"/>
      <c r="BS13" s="29"/>
      <c r="BT13" s="15"/>
      <c r="BU13" s="15"/>
      <c r="BV13" s="15"/>
      <c r="BW13" s="29"/>
      <c r="BX13" s="15"/>
      <c r="BY13" s="15"/>
      <c r="BZ13" s="15"/>
      <c r="CA13" s="29"/>
      <c r="CB13" s="15"/>
      <c r="CC13" s="15"/>
      <c r="CD13" s="15"/>
      <c r="CE13" s="29"/>
      <c r="CF13" s="15"/>
      <c r="CG13" s="15"/>
      <c r="CH13" s="15"/>
      <c r="CI13" s="29"/>
      <c r="CV13" s="15"/>
      <c r="CW13" s="15"/>
      <c r="CX13" s="15"/>
      <c r="CY13" s="29"/>
      <c r="CZ13" s="15"/>
      <c r="DA13" s="15"/>
      <c r="DB13" s="15"/>
      <c r="DC13" s="29"/>
      <c r="DD13" s="15"/>
      <c r="DE13" s="15"/>
      <c r="DF13" s="15"/>
      <c r="DG13" s="29"/>
      <c r="DH13" s="15"/>
      <c r="DI13" s="15"/>
      <c r="DJ13" s="15"/>
      <c r="DK13" s="29"/>
      <c r="DL13" s="15"/>
      <c r="DM13" s="15"/>
      <c r="DN13" s="15"/>
      <c r="DO13" s="29"/>
      <c r="DP13" s="15"/>
      <c r="DQ13" s="15"/>
      <c r="DR13" s="15"/>
      <c r="DS13" s="29"/>
      <c r="DT13" s="15"/>
      <c r="DU13" s="15"/>
      <c r="DV13" s="15"/>
      <c r="DW13" s="16">
        <f t="shared" si="0"/>
        <v>1.9964000000000003E-2</v>
      </c>
      <c r="DX13" s="17" t="str">
        <f t="shared" si="1"/>
        <v>OK</v>
      </c>
      <c r="DY13" s="17" t="s">
        <v>9</v>
      </c>
    </row>
    <row r="14" spans="1:129" ht="21.95" customHeight="1">
      <c r="A14" s="14" t="s">
        <v>68</v>
      </c>
      <c r="B14" s="14" t="s">
        <v>210</v>
      </c>
      <c r="C14" s="22">
        <v>11433600000</v>
      </c>
      <c r="D14" s="23">
        <v>2.5408E-2</v>
      </c>
      <c r="E14" s="14"/>
      <c r="F14" s="20"/>
      <c r="G14" s="29"/>
      <c r="H14" s="15"/>
      <c r="I14" s="20">
        <v>9.9820000000000009E-4</v>
      </c>
      <c r="J14" s="20">
        <v>9.9820000000000009E-4</v>
      </c>
      <c r="K14" s="31">
        <v>9.9820000000000009E-4</v>
      </c>
      <c r="L14" s="20">
        <v>9.9820000000000009E-4</v>
      </c>
      <c r="M14" s="20">
        <v>9.9820000000000009E-4</v>
      </c>
      <c r="N14" s="20">
        <v>9.9820000000000009E-4</v>
      </c>
      <c r="O14" s="31">
        <v>9.9820000000000009E-4</v>
      </c>
      <c r="P14" s="20">
        <v>9.9820000000000009E-4</v>
      </c>
      <c r="Q14" s="20">
        <v>9.9820000000000009E-4</v>
      </c>
      <c r="R14" s="20">
        <v>9.9820000000000009E-4</v>
      </c>
      <c r="S14" s="31">
        <v>9.9820000000000009E-4</v>
      </c>
      <c r="T14" s="20">
        <v>9.9820000000000009E-4</v>
      </c>
      <c r="U14" s="20">
        <v>9.9820000000000009E-4</v>
      </c>
      <c r="V14" s="20">
        <v>9.9820000000000009E-4</v>
      </c>
      <c r="W14" s="31">
        <v>9.9820000000000009E-4</v>
      </c>
      <c r="X14" s="20">
        <v>9.9820000000000009E-4</v>
      </c>
      <c r="Y14" s="20">
        <v>9.9820000000000009E-4</v>
      </c>
      <c r="Z14" s="20">
        <v>9.9820000000000009E-4</v>
      </c>
      <c r="AA14" s="31">
        <v>9.9820000000000009E-4</v>
      </c>
      <c r="AB14" s="20">
        <v>9.9820000000000009E-4</v>
      </c>
      <c r="AC14" s="15"/>
      <c r="AD14" s="15"/>
      <c r="AE14" s="29"/>
      <c r="AF14" s="15"/>
      <c r="AG14" s="15"/>
      <c r="AH14" s="15"/>
      <c r="AI14" s="29"/>
      <c r="AJ14" s="15"/>
      <c r="AK14" s="15"/>
      <c r="AL14" s="15"/>
      <c r="AM14" s="29"/>
      <c r="AN14" s="15"/>
      <c r="AO14" s="15"/>
      <c r="AP14" s="15"/>
      <c r="AQ14" s="29"/>
      <c r="AR14" s="15"/>
      <c r="AS14" s="15"/>
      <c r="AT14" s="15"/>
      <c r="AU14" s="29"/>
      <c r="AV14" s="15"/>
      <c r="AW14" s="15"/>
      <c r="AX14" s="15"/>
      <c r="AY14" s="29"/>
      <c r="AZ14" s="15"/>
      <c r="BA14" s="15"/>
      <c r="BB14" s="15"/>
      <c r="BC14" s="29"/>
      <c r="BD14" s="15"/>
      <c r="BE14" s="15"/>
      <c r="BF14" s="15"/>
      <c r="BG14" s="29"/>
      <c r="BH14" s="15"/>
      <c r="BI14" s="15"/>
      <c r="BJ14" s="15"/>
      <c r="BK14" s="29"/>
      <c r="BL14" s="15"/>
      <c r="BM14" s="15"/>
      <c r="BN14" s="15"/>
      <c r="BO14" s="29"/>
      <c r="BP14" s="15"/>
      <c r="BQ14" s="15"/>
      <c r="BR14" s="15"/>
      <c r="BS14" s="29"/>
      <c r="BT14" s="15"/>
      <c r="BU14" s="15"/>
      <c r="BV14" s="15"/>
      <c r="BW14" s="29"/>
      <c r="BX14" s="15"/>
      <c r="BY14" s="15"/>
      <c r="BZ14" s="15"/>
      <c r="CA14" s="29"/>
      <c r="CB14" s="15"/>
      <c r="CC14" s="15"/>
      <c r="CD14" s="15"/>
      <c r="CE14" s="29"/>
      <c r="CF14" s="15"/>
      <c r="CG14" s="15"/>
      <c r="CH14" s="15"/>
      <c r="CI14" s="29"/>
      <c r="CV14" s="15"/>
      <c r="CW14" s="15"/>
      <c r="CX14" s="15"/>
      <c r="CY14" s="29"/>
      <c r="CZ14" s="15"/>
      <c r="DA14" s="15"/>
      <c r="DB14" s="15"/>
      <c r="DC14" s="29"/>
      <c r="DD14" s="15"/>
      <c r="DE14" s="15"/>
      <c r="DF14" s="15"/>
      <c r="DG14" s="29"/>
      <c r="DH14" s="15"/>
      <c r="DI14" s="15"/>
      <c r="DJ14" s="15"/>
      <c r="DK14" s="29"/>
      <c r="DL14" s="15"/>
      <c r="DM14" s="15"/>
      <c r="DN14" s="15"/>
      <c r="DO14" s="29"/>
      <c r="DP14" s="15"/>
      <c r="DQ14" s="15"/>
      <c r="DR14" s="15"/>
      <c r="DS14" s="29"/>
      <c r="DT14" s="15"/>
      <c r="DU14" s="15"/>
      <c r="DV14" s="15"/>
      <c r="DW14" s="16">
        <f t="shared" si="0"/>
        <v>1.9964000000000003E-2</v>
      </c>
      <c r="DX14" s="17" t="str">
        <f t="shared" si="1"/>
        <v>확인</v>
      </c>
      <c r="DY14" s="17" t="s">
        <v>10</v>
      </c>
    </row>
    <row r="15" spans="1:129" ht="21.95" customHeight="1">
      <c r="A15" s="14" t="s">
        <v>68</v>
      </c>
      <c r="B15" s="14" t="s">
        <v>211</v>
      </c>
      <c r="C15" s="22">
        <v>3675150000</v>
      </c>
      <c r="D15" s="23">
        <v>8.1670000000000006E-3</v>
      </c>
      <c r="E15" s="14"/>
      <c r="F15" s="15"/>
      <c r="G15" s="29"/>
      <c r="H15" s="15"/>
      <c r="I15" s="15"/>
      <c r="J15" s="15"/>
      <c r="K15" s="29"/>
      <c r="L15" s="15"/>
      <c r="M15" s="15"/>
      <c r="N15" s="15"/>
      <c r="O15" s="29"/>
      <c r="P15" s="15"/>
      <c r="Q15" s="15"/>
      <c r="R15" s="15"/>
      <c r="S15" s="29"/>
      <c r="T15" s="15"/>
      <c r="U15" s="15"/>
      <c r="V15" s="15"/>
      <c r="W15" s="31">
        <v>5.8336E-4</v>
      </c>
      <c r="X15" s="20">
        <v>5.8336E-4</v>
      </c>
      <c r="Y15" s="20">
        <v>5.8336E-4</v>
      </c>
      <c r="Z15" s="20">
        <v>5.8336E-4</v>
      </c>
      <c r="AA15" s="31">
        <v>5.8336E-4</v>
      </c>
      <c r="AB15" s="20">
        <v>5.8336E-4</v>
      </c>
      <c r="AC15" s="20">
        <v>5.8336E-4</v>
      </c>
      <c r="AD15" s="20">
        <v>5.8336E-4</v>
      </c>
      <c r="AE15" s="31">
        <v>5.8336E-4</v>
      </c>
      <c r="AF15" s="20">
        <v>5.8336E-4</v>
      </c>
      <c r="AG15" s="20">
        <v>5.8336E-4</v>
      </c>
      <c r="AH15" s="20">
        <v>5.8336E-4</v>
      </c>
      <c r="AI15" s="31">
        <v>5.8336E-4</v>
      </c>
      <c r="AJ15" s="20">
        <v>5.8336E-4</v>
      </c>
      <c r="AK15" s="15"/>
      <c r="AL15" s="15"/>
      <c r="AM15" s="29"/>
      <c r="AN15" s="15"/>
      <c r="AO15" s="15"/>
      <c r="AP15" s="15"/>
      <c r="AQ15" s="29"/>
      <c r="AR15" s="15"/>
      <c r="AS15" s="15"/>
      <c r="AT15" s="15"/>
      <c r="AU15" s="29"/>
      <c r="AV15" s="15"/>
      <c r="AW15" s="15"/>
      <c r="AX15" s="15"/>
      <c r="AY15" s="29"/>
      <c r="AZ15" s="15"/>
      <c r="BA15" s="15"/>
      <c r="BB15" s="15"/>
      <c r="BC15" s="29"/>
      <c r="BD15" s="15"/>
      <c r="BE15" s="15"/>
      <c r="BF15" s="15"/>
      <c r="BG15" s="29"/>
      <c r="BH15" s="15"/>
      <c r="BI15" s="15"/>
      <c r="BJ15" s="15"/>
      <c r="BK15" s="29"/>
      <c r="BL15" s="15"/>
      <c r="BM15" s="15"/>
      <c r="BN15" s="15"/>
      <c r="BO15" s="29"/>
      <c r="BP15" s="15"/>
      <c r="BQ15" s="15"/>
      <c r="BR15" s="15"/>
      <c r="BS15" s="29"/>
      <c r="BT15" s="15"/>
      <c r="BU15" s="15"/>
      <c r="BV15" s="15"/>
      <c r="BW15" s="29"/>
      <c r="BX15" s="15"/>
      <c r="BY15" s="15"/>
      <c r="BZ15" s="15"/>
      <c r="CA15" s="29"/>
      <c r="CB15" s="15"/>
      <c r="CC15" s="15"/>
      <c r="CD15" s="15"/>
      <c r="CE15" s="29"/>
      <c r="CF15" s="15"/>
      <c r="CG15" s="15"/>
      <c r="CH15" s="15"/>
      <c r="CI15" s="29"/>
      <c r="CV15" s="15"/>
      <c r="CW15" s="15"/>
      <c r="CX15" s="15"/>
      <c r="CY15" s="29"/>
      <c r="CZ15" s="15"/>
      <c r="DA15" s="15"/>
      <c r="DB15" s="15"/>
      <c r="DC15" s="29"/>
      <c r="DD15" s="15"/>
      <c r="DE15" s="15"/>
      <c r="DF15" s="15"/>
      <c r="DG15" s="29"/>
      <c r="DH15" s="15"/>
      <c r="DI15" s="15"/>
      <c r="DJ15" s="15"/>
      <c r="DK15" s="29"/>
      <c r="DL15" s="15"/>
      <c r="DM15" s="15"/>
      <c r="DN15" s="15"/>
      <c r="DO15" s="29"/>
      <c r="DP15" s="15"/>
      <c r="DQ15" s="15"/>
      <c r="DR15" s="15"/>
      <c r="DS15" s="29"/>
      <c r="DT15" s="15"/>
      <c r="DU15" s="15"/>
      <c r="DV15" s="15"/>
      <c r="DW15" s="16">
        <f t="shared" si="0"/>
        <v>8.1670399999999987E-3</v>
      </c>
      <c r="DX15" s="17" t="str">
        <f t="shared" si="1"/>
        <v>OK</v>
      </c>
      <c r="DY15" s="17" t="s">
        <v>19</v>
      </c>
    </row>
    <row r="16" spans="1:129" ht="21.95" customHeight="1">
      <c r="A16" s="14" t="s">
        <v>206</v>
      </c>
      <c r="B16" s="14" t="s">
        <v>212</v>
      </c>
      <c r="C16" s="22">
        <v>10208700000</v>
      </c>
      <c r="D16" s="23">
        <v>2.2686000000000001E-2</v>
      </c>
      <c r="E16" s="14"/>
      <c r="F16" s="15"/>
      <c r="G16" s="29"/>
      <c r="H16" s="15"/>
      <c r="I16" s="15"/>
      <c r="J16" s="15"/>
      <c r="K16" s="29"/>
      <c r="L16" s="15"/>
      <c r="M16" s="20">
        <v>9.9820000000000009E-4</v>
      </c>
      <c r="N16" s="20">
        <v>9.9820000000000009E-4</v>
      </c>
      <c r="O16" s="31">
        <v>9.9820000000000009E-4</v>
      </c>
      <c r="P16" s="20">
        <v>9.9820000000000009E-4</v>
      </c>
      <c r="Q16" s="20">
        <v>9.9820000000000009E-4</v>
      </c>
      <c r="R16" s="20">
        <v>9.9820000000000009E-4</v>
      </c>
      <c r="S16" s="31">
        <v>9.9820000000000009E-4</v>
      </c>
      <c r="T16" s="20">
        <v>9.9820000000000009E-4</v>
      </c>
      <c r="U16" s="20">
        <v>9.9820000000000009E-4</v>
      </c>
      <c r="V16" s="20">
        <v>9.9820000000000009E-4</v>
      </c>
      <c r="W16" s="31">
        <v>9.9820000000000009E-4</v>
      </c>
      <c r="X16" s="20">
        <v>9.9820000000000009E-4</v>
      </c>
      <c r="Y16" s="20">
        <v>9.9820000000000009E-4</v>
      </c>
      <c r="Z16" s="20">
        <v>9.9820000000000009E-4</v>
      </c>
      <c r="AA16" s="31">
        <v>9.9820000000000009E-4</v>
      </c>
      <c r="AB16" s="20"/>
      <c r="AC16" s="20"/>
      <c r="AD16" s="20"/>
      <c r="AE16" s="31"/>
      <c r="AF16" s="20"/>
      <c r="AG16" s="15"/>
      <c r="AH16" s="15"/>
      <c r="AI16" s="29"/>
      <c r="AJ16" s="15"/>
      <c r="AK16" s="15"/>
      <c r="AL16" s="15"/>
      <c r="AM16" s="29"/>
      <c r="AN16" s="15"/>
      <c r="AO16" s="15"/>
      <c r="AP16" s="15"/>
      <c r="AQ16" s="29"/>
      <c r="AR16" s="15"/>
      <c r="AS16" s="15"/>
      <c r="AT16" s="15"/>
      <c r="AU16" s="29"/>
      <c r="AV16" s="15"/>
      <c r="AW16" s="15"/>
      <c r="AX16" s="15"/>
      <c r="AY16" s="29"/>
      <c r="AZ16" s="15"/>
      <c r="BA16" s="15"/>
      <c r="BB16" s="15"/>
      <c r="BC16" s="29"/>
      <c r="BD16" s="15"/>
      <c r="BE16" s="15"/>
      <c r="BF16" s="15"/>
      <c r="BG16" s="29"/>
      <c r="BH16" s="15"/>
      <c r="BI16" s="15"/>
      <c r="BJ16" s="15"/>
      <c r="BK16" s="29"/>
      <c r="BL16" s="15"/>
      <c r="BM16" s="15"/>
      <c r="BN16" s="15"/>
      <c r="BO16" s="29"/>
      <c r="BP16" s="15"/>
      <c r="BQ16" s="15"/>
      <c r="BR16" s="15"/>
      <c r="BS16" s="29"/>
      <c r="BT16" s="15"/>
      <c r="BU16" s="15"/>
      <c r="BV16" s="15"/>
      <c r="BW16" s="29"/>
      <c r="BX16" s="15"/>
      <c r="BY16" s="15"/>
      <c r="BZ16" s="15"/>
      <c r="CA16" s="29"/>
      <c r="CB16" s="15"/>
      <c r="CC16" s="15"/>
      <c r="CD16" s="15"/>
      <c r="CE16" s="29"/>
      <c r="CF16" s="15"/>
      <c r="CG16" s="15"/>
      <c r="CH16" s="15"/>
      <c r="CI16" s="29"/>
      <c r="CV16" s="15"/>
      <c r="CW16" s="15"/>
      <c r="CX16" s="15"/>
      <c r="CY16" s="29"/>
      <c r="CZ16" s="15"/>
      <c r="DA16" s="15"/>
      <c r="DB16" s="15"/>
      <c r="DC16" s="29"/>
      <c r="DD16" s="15"/>
      <c r="DE16" s="15"/>
      <c r="DF16" s="15"/>
      <c r="DG16" s="29"/>
      <c r="DH16" s="15"/>
      <c r="DI16" s="15"/>
      <c r="DJ16" s="15"/>
      <c r="DK16" s="29"/>
      <c r="DL16" s="15"/>
      <c r="DM16" s="15"/>
      <c r="DN16" s="15"/>
      <c r="DO16" s="29"/>
      <c r="DP16" s="15"/>
      <c r="DQ16" s="15"/>
      <c r="DR16" s="15"/>
      <c r="DS16" s="29"/>
      <c r="DT16" s="15"/>
      <c r="DU16" s="15"/>
      <c r="DV16" s="15"/>
      <c r="DW16" s="16">
        <f t="shared" si="0"/>
        <v>1.4972999999999997E-2</v>
      </c>
      <c r="DX16" s="17" t="str">
        <f t="shared" si="1"/>
        <v>확인</v>
      </c>
      <c r="DY16" s="17" t="s">
        <v>20</v>
      </c>
    </row>
    <row r="17" spans="1:129" ht="21.95" customHeight="1">
      <c r="A17" s="14" t="s">
        <v>13</v>
      </c>
      <c r="B17" s="14" t="s">
        <v>213</v>
      </c>
      <c r="C17" s="22">
        <v>12250350000</v>
      </c>
      <c r="D17" s="23">
        <v>2.7223000000000001E-2</v>
      </c>
      <c r="E17" s="14" t="s">
        <v>22</v>
      </c>
      <c r="F17" s="15"/>
      <c r="G17" s="29"/>
      <c r="H17" s="15"/>
      <c r="I17" s="15"/>
      <c r="J17" s="15"/>
      <c r="K17" s="29"/>
      <c r="L17" s="15"/>
      <c r="M17" s="15"/>
      <c r="N17" s="15"/>
      <c r="O17" s="31"/>
      <c r="P17" s="20"/>
      <c r="Q17" s="20"/>
      <c r="R17" s="20"/>
      <c r="S17" s="31">
        <v>9.9820000000000009E-4</v>
      </c>
      <c r="T17" s="20">
        <v>9.9820000000000009E-4</v>
      </c>
      <c r="U17" s="20">
        <v>9.9820000000000009E-4</v>
      </c>
      <c r="V17" s="20">
        <v>9.9820000000000009E-4</v>
      </c>
      <c r="W17" s="31">
        <v>9.9820000000000009E-4</v>
      </c>
      <c r="X17" s="20">
        <v>9.9820000000000009E-4</v>
      </c>
      <c r="Y17" s="20">
        <v>9.9820000000000009E-4</v>
      </c>
      <c r="Z17" s="20">
        <v>9.9820000000000009E-4</v>
      </c>
      <c r="AA17" s="31">
        <v>9.9820000000000009E-4</v>
      </c>
      <c r="AB17" s="20">
        <v>9.9820000000000009E-4</v>
      </c>
      <c r="AC17" s="20">
        <v>9.9820000000000009E-4</v>
      </c>
      <c r="AD17" s="20">
        <v>9.9820000000000009E-4</v>
      </c>
      <c r="AE17" s="31"/>
      <c r="AF17" s="20"/>
      <c r="AG17" s="20"/>
      <c r="AH17" s="20"/>
      <c r="AI17" s="31"/>
      <c r="AJ17" s="20"/>
      <c r="AK17" s="20"/>
      <c r="AL17" s="20"/>
      <c r="AM17" s="29"/>
      <c r="AN17" s="15"/>
      <c r="AO17" s="15"/>
      <c r="AP17" s="15"/>
      <c r="AQ17" s="29"/>
      <c r="AR17" s="15"/>
      <c r="AS17" s="15"/>
      <c r="AT17" s="15"/>
      <c r="AU17" s="29"/>
      <c r="AV17" s="15"/>
      <c r="AW17" s="15"/>
      <c r="AX17" s="15"/>
      <c r="AY17" s="29"/>
      <c r="AZ17" s="15"/>
      <c r="BA17" s="15"/>
      <c r="BB17" s="15"/>
      <c r="BC17" s="29"/>
      <c r="BD17" s="15"/>
      <c r="BE17" s="15"/>
      <c r="BF17" s="15"/>
      <c r="BG17" s="29"/>
      <c r="BH17" s="15"/>
      <c r="BI17" s="15"/>
      <c r="BJ17" s="15"/>
      <c r="BK17" s="29"/>
      <c r="BL17" s="15"/>
      <c r="BM17" s="15"/>
      <c r="BN17" s="15"/>
      <c r="BO17" s="29"/>
      <c r="BP17" s="15"/>
      <c r="BQ17" s="15"/>
      <c r="BR17" s="15"/>
      <c r="BS17" s="29"/>
      <c r="BT17" s="15"/>
      <c r="BU17" s="15"/>
      <c r="BV17" s="15"/>
      <c r="BW17" s="29"/>
      <c r="BX17" s="15"/>
      <c r="BY17" s="15"/>
      <c r="BZ17" s="15"/>
      <c r="CA17" s="29"/>
      <c r="CB17" s="15"/>
      <c r="CC17" s="15"/>
      <c r="CD17" s="15"/>
      <c r="CE17" s="29"/>
      <c r="CF17" s="15"/>
      <c r="CG17" s="15"/>
      <c r="CH17" s="15"/>
      <c r="CI17" s="29"/>
      <c r="CV17" s="15"/>
      <c r="CW17" s="15"/>
      <c r="CX17" s="15"/>
      <c r="CY17" s="29"/>
      <c r="CZ17" s="15"/>
      <c r="DA17" s="15"/>
      <c r="DB17" s="15"/>
      <c r="DC17" s="29"/>
      <c r="DD17" s="15"/>
      <c r="DE17" s="15"/>
      <c r="DF17" s="15"/>
      <c r="DG17" s="29"/>
      <c r="DH17" s="15"/>
      <c r="DI17" s="15"/>
      <c r="DJ17" s="15"/>
      <c r="DK17" s="29"/>
      <c r="DL17" s="15"/>
      <c r="DM17" s="15"/>
      <c r="DN17" s="15"/>
      <c r="DO17" s="29"/>
      <c r="DP17" s="15"/>
      <c r="DQ17" s="15"/>
      <c r="DR17" s="15"/>
      <c r="DS17" s="29"/>
      <c r="DT17" s="15"/>
      <c r="DU17" s="15"/>
      <c r="DV17" s="15"/>
      <c r="DW17" s="16">
        <f t="shared" si="0"/>
        <v>1.1978399999999998E-2</v>
      </c>
      <c r="DX17" s="17" t="str">
        <f t="shared" si="1"/>
        <v>확인</v>
      </c>
      <c r="DY17" s="17" t="s">
        <v>11</v>
      </c>
    </row>
    <row r="18" spans="1:129" ht="21.95" customHeight="1">
      <c r="A18" s="14" t="s">
        <v>207</v>
      </c>
      <c r="B18" s="14" t="s">
        <v>214</v>
      </c>
      <c r="C18" s="22">
        <v>34709400000</v>
      </c>
      <c r="D18" s="23">
        <v>7.7132000000000006E-2</v>
      </c>
      <c r="E18" s="14" t="s">
        <v>23</v>
      </c>
      <c r="F18" s="15"/>
      <c r="G18" s="29"/>
      <c r="H18" s="15"/>
      <c r="I18" s="15"/>
      <c r="J18" s="15"/>
      <c r="K18" s="29"/>
      <c r="L18" s="15"/>
      <c r="M18" s="15"/>
      <c r="N18" s="15"/>
      <c r="O18" s="29"/>
      <c r="P18" s="15"/>
      <c r="Q18" s="15"/>
      <c r="R18" s="15"/>
      <c r="S18" s="29"/>
      <c r="T18" s="15"/>
      <c r="U18" s="15"/>
      <c r="V18" s="15"/>
      <c r="W18" s="31"/>
      <c r="X18" s="20"/>
      <c r="Y18" s="20"/>
      <c r="Z18" s="20"/>
      <c r="AA18" s="31">
        <v>9.9820000000000009E-4</v>
      </c>
      <c r="AB18" s="20">
        <v>9.9820000000000009E-4</v>
      </c>
      <c r="AC18" s="20">
        <v>9.9820000000000009E-4</v>
      </c>
      <c r="AD18" s="20">
        <v>9.9820000000000009E-4</v>
      </c>
      <c r="AE18" s="31">
        <v>9.9820000000000009E-4</v>
      </c>
      <c r="AF18" s="20">
        <v>9.9820000000000009E-4</v>
      </c>
      <c r="AG18" s="20">
        <v>9.9820000000000009E-4</v>
      </c>
      <c r="AH18" s="20">
        <v>9.9820000000000009E-4</v>
      </c>
      <c r="AI18" s="31">
        <v>9.9820000000000009E-4</v>
      </c>
      <c r="AJ18" s="20">
        <v>9.9820000000000009E-4</v>
      </c>
      <c r="AK18" s="20">
        <v>9.9820000000000009E-4</v>
      </c>
      <c r="AL18" s="20">
        <v>9.9820000000000009E-4</v>
      </c>
      <c r="AM18" s="31"/>
      <c r="AN18" s="20"/>
      <c r="AO18" s="20"/>
      <c r="AP18" s="20"/>
      <c r="AQ18" s="29"/>
      <c r="AR18" s="15"/>
      <c r="AS18" s="15"/>
      <c r="AT18" s="15"/>
      <c r="AU18" s="29"/>
      <c r="AV18" s="15"/>
      <c r="AW18" s="15"/>
      <c r="AX18" s="15"/>
      <c r="AY18" s="29"/>
      <c r="AZ18" s="15"/>
      <c r="BA18" s="15"/>
      <c r="BB18" s="15"/>
      <c r="BC18" s="29"/>
      <c r="BD18" s="15"/>
      <c r="BE18" s="15"/>
      <c r="BF18" s="15"/>
      <c r="BG18" s="29"/>
      <c r="BH18" s="15"/>
      <c r="BI18" s="15"/>
      <c r="BJ18" s="15"/>
      <c r="BK18" s="29"/>
      <c r="BL18" s="15"/>
      <c r="BM18" s="15"/>
      <c r="BN18" s="15"/>
      <c r="BO18" s="29"/>
      <c r="BP18" s="15"/>
      <c r="BQ18" s="15"/>
      <c r="BR18" s="15"/>
      <c r="BS18" s="29"/>
      <c r="BT18" s="15"/>
      <c r="BU18" s="15"/>
      <c r="BV18" s="15"/>
      <c r="BW18" s="29"/>
      <c r="BX18" s="15"/>
      <c r="BY18" s="15"/>
      <c r="BZ18" s="15"/>
      <c r="CA18" s="29"/>
      <c r="CB18" s="15"/>
      <c r="CC18" s="15"/>
      <c r="CD18" s="15"/>
      <c r="CE18" s="29"/>
      <c r="CF18" s="15"/>
      <c r="CG18" s="15"/>
      <c r="CH18" s="15"/>
      <c r="CI18" s="29"/>
      <c r="CV18" s="15"/>
      <c r="CW18" s="15"/>
      <c r="CX18" s="15"/>
      <c r="CY18" s="29"/>
      <c r="CZ18" s="15"/>
      <c r="DA18" s="15"/>
      <c r="DB18" s="15"/>
      <c r="DC18" s="29"/>
      <c r="DD18" s="15"/>
      <c r="DE18" s="15"/>
      <c r="DF18" s="15"/>
      <c r="DG18" s="29"/>
      <c r="DH18" s="15"/>
      <c r="DI18" s="15"/>
      <c r="DJ18" s="15"/>
      <c r="DK18" s="29"/>
      <c r="DL18" s="15"/>
      <c r="DM18" s="15"/>
      <c r="DN18" s="15"/>
      <c r="DO18" s="29"/>
      <c r="DP18" s="15"/>
      <c r="DQ18" s="15"/>
      <c r="DR18" s="15"/>
      <c r="DS18" s="29"/>
      <c r="DT18" s="15"/>
      <c r="DU18" s="15"/>
      <c r="DV18" s="15"/>
      <c r="DW18" s="16">
        <f t="shared" si="0"/>
        <v>1.1978399999999998E-2</v>
      </c>
      <c r="DX18" s="17" t="str">
        <f t="shared" si="1"/>
        <v>확인</v>
      </c>
      <c r="DY18" s="17" t="s">
        <v>25</v>
      </c>
    </row>
    <row r="19" spans="1:129" ht="21.95" customHeight="1">
      <c r="A19" s="14" t="s">
        <v>12</v>
      </c>
      <c r="B19" s="14" t="s">
        <v>215</v>
      </c>
      <c r="C19" s="22">
        <v>28584450000</v>
      </c>
      <c r="D19" s="23">
        <v>6.3520999999999994E-2</v>
      </c>
      <c r="E19" s="14" t="s">
        <v>109</v>
      </c>
      <c r="F19" s="15"/>
      <c r="G19" s="29"/>
      <c r="H19" s="15"/>
      <c r="I19" s="15"/>
      <c r="J19" s="15"/>
      <c r="K19" s="29"/>
      <c r="L19" s="15"/>
      <c r="M19" s="15"/>
      <c r="N19" s="15"/>
      <c r="O19" s="29"/>
      <c r="P19" s="15"/>
      <c r="Q19" s="15"/>
      <c r="R19" s="15"/>
      <c r="S19" s="29"/>
      <c r="T19" s="15"/>
      <c r="U19" s="15"/>
      <c r="V19" s="15"/>
      <c r="W19" s="29"/>
      <c r="X19" s="15"/>
      <c r="Y19" s="15"/>
      <c r="Z19" s="15"/>
      <c r="AA19" s="29"/>
      <c r="AB19" s="15"/>
      <c r="AC19" s="15"/>
      <c r="AD19" s="15"/>
      <c r="AE19" s="29"/>
      <c r="AF19" s="15"/>
      <c r="AG19" s="15"/>
      <c r="AH19" s="15"/>
      <c r="AM19" s="31">
        <v>9.9820000000000009E-4</v>
      </c>
      <c r="AN19" s="20">
        <v>9.9820000000000009E-4</v>
      </c>
      <c r="AO19" s="20">
        <v>9.9820000000000009E-4</v>
      </c>
      <c r="AP19" s="20">
        <v>9.9820000000000009E-4</v>
      </c>
      <c r="AQ19" s="31">
        <v>9.9820000000000009E-4</v>
      </c>
      <c r="AR19" s="20">
        <v>9.9820000000000009E-4</v>
      </c>
      <c r="AS19" s="20">
        <v>9.9820000000000009E-4</v>
      </c>
      <c r="AT19" s="20">
        <v>9.9820000000000009E-4</v>
      </c>
      <c r="AU19" s="31">
        <v>9.9820000000000009E-4</v>
      </c>
      <c r="AV19" s="20">
        <v>9.9820000000000009E-4</v>
      </c>
      <c r="AW19" s="20">
        <v>9.9820000000000009E-4</v>
      </c>
      <c r="AX19" s="24">
        <v>9.9820000000000009E-4</v>
      </c>
      <c r="AY19" s="29"/>
      <c r="AZ19" s="15"/>
      <c r="BA19" s="15"/>
      <c r="BB19" s="15"/>
      <c r="BC19" s="29"/>
      <c r="BD19" s="15"/>
      <c r="BE19" s="15"/>
      <c r="BF19" s="15"/>
      <c r="BG19" s="29"/>
      <c r="BH19" s="15"/>
      <c r="BI19" s="15"/>
      <c r="BJ19" s="15"/>
      <c r="BK19" s="29"/>
      <c r="BL19" s="15"/>
      <c r="BM19" s="15"/>
      <c r="BN19" s="15"/>
      <c r="BO19" s="29"/>
      <c r="BP19" s="15"/>
      <c r="BQ19" s="15"/>
      <c r="BR19" s="15"/>
      <c r="BS19" s="29"/>
      <c r="BT19" s="15"/>
      <c r="BU19" s="15"/>
      <c r="BV19" s="15"/>
      <c r="BW19" s="29"/>
      <c r="BX19" s="15"/>
      <c r="BY19" s="15"/>
      <c r="BZ19" s="15"/>
      <c r="CA19" s="29"/>
      <c r="CB19" s="15"/>
      <c r="CC19" s="15"/>
      <c r="CD19" s="15"/>
      <c r="CE19" s="29"/>
      <c r="CF19" s="15"/>
      <c r="CG19" s="15"/>
      <c r="CH19" s="15"/>
      <c r="CI19" s="29"/>
      <c r="CV19" s="15"/>
      <c r="CW19" s="15"/>
      <c r="CX19" s="15"/>
      <c r="CY19" s="29"/>
      <c r="CZ19" s="15"/>
      <c r="DA19" s="15"/>
      <c r="DB19" s="15"/>
      <c r="DC19" s="29"/>
      <c r="DD19" s="15"/>
      <c r="DE19" s="15"/>
      <c r="DF19" s="15"/>
      <c r="DG19" s="29"/>
      <c r="DH19" s="15"/>
      <c r="DI19" s="15"/>
      <c r="DJ19" s="15"/>
      <c r="DK19" s="29"/>
      <c r="DL19" s="15"/>
      <c r="DM19" s="15"/>
      <c r="DN19" s="15"/>
      <c r="DO19" s="29"/>
      <c r="DP19" s="15"/>
      <c r="DQ19" s="15"/>
      <c r="DR19" s="15"/>
      <c r="DS19" s="29"/>
      <c r="DT19" s="15"/>
      <c r="DU19" s="15"/>
      <c r="DV19" s="15"/>
      <c r="DW19" s="16">
        <f t="shared" si="0"/>
        <v>1.1978399999999998E-2</v>
      </c>
      <c r="DX19" s="17" t="str">
        <f t="shared" si="1"/>
        <v>확인</v>
      </c>
      <c r="DY19" s="17" t="s">
        <v>26</v>
      </c>
    </row>
    <row r="20" spans="1:129" ht="21.95" customHeight="1">
      <c r="A20" s="14" t="s">
        <v>12</v>
      </c>
      <c r="B20" s="14" t="s">
        <v>78</v>
      </c>
      <c r="C20" s="22">
        <v>28584450000</v>
      </c>
      <c r="D20" s="23">
        <v>6.3520999999999994E-2</v>
      </c>
      <c r="E20" s="14" t="s">
        <v>108</v>
      </c>
      <c r="F20" s="15"/>
      <c r="G20" s="29"/>
      <c r="H20" s="15"/>
      <c r="I20" s="15"/>
      <c r="J20" s="15"/>
      <c r="K20" s="29"/>
      <c r="L20" s="15"/>
      <c r="M20" s="15"/>
      <c r="N20" s="15"/>
      <c r="O20" s="29"/>
      <c r="P20" s="15"/>
      <c r="Q20" s="15"/>
      <c r="R20" s="15"/>
      <c r="S20" s="29"/>
      <c r="T20" s="15"/>
      <c r="U20" s="15"/>
      <c r="V20" s="15"/>
      <c r="W20" s="29"/>
      <c r="X20" s="15"/>
      <c r="Y20" s="15"/>
      <c r="Z20" s="15"/>
      <c r="AA20" s="29"/>
      <c r="AB20" s="15"/>
      <c r="AC20" s="15"/>
      <c r="AD20" s="15"/>
      <c r="AE20" s="29"/>
      <c r="AF20" s="15"/>
      <c r="AG20" s="15"/>
      <c r="AH20" s="15"/>
      <c r="AI20" s="29"/>
      <c r="AJ20" s="15"/>
      <c r="AK20" s="15"/>
      <c r="AL20" s="15"/>
      <c r="AM20" s="29"/>
      <c r="AN20" s="15"/>
      <c r="AO20" s="15"/>
      <c r="AP20" s="15"/>
      <c r="AY20" s="32">
        <v>9.9820000000000009E-4</v>
      </c>
      <c r="AZ20" s="25">
        <v>9.9820000000000009E-4</v>
      </c>
      <c r="BA20" s="25">
        <v>9.9820000000000009E-4</v>
      </c>
      <c r="BB20" s="25">
        <v>9.9820000000000009E-4</v>
      </c>
      <c r="BC20" s="32">
        <v>9.9820000000000009E-4</v>
      </c>
      <c r="BD20" s="25">
        <v>9.9820000000000009E-4</v>
      </c>
      <c r="BE20" s="25">
        <v>9.9820000000000009E-4</v>
      </c>
      <c r="BF20" s="25">
        <v>9.9820000000000009E-4</v>
      </c>
      <c r="BG20" s="29"/>
      <c r="BH20" s="15"/>
      <c r="BI20" s="15"/>
      <c r="BJ20" s="15"/>
      <c r="BK20" s="29"/>
      <c r="BL20" s="15"/>
      <c r="BM20" s="15"/>
      <c r="BN20" s="15"/>
      <c r="BO20" s="29"/>
      <c r="BP20" s="15"/>
      <c r="BQ20" s="15"/>
      <c r="BR20" s="15"/>
      <c r="BS20" s="29"/>
      <c r="BT20" s="15"/>
      <c r="BU20" s="15"/>
      <c r="BV20" s="15"/>
      <c r="BW20" s="29"/>
      <c r="BX20" s="15"/>
      <c r="BY20" s="15"/>
      <c r="BZ20" s="15"/>
      <c r="CA20" s="29"/>
      <c r="CB20" s="15"/>
      <c r="CC20" s="15"/>
      <c r="CD20" s="15"/>
      <c r="CE20" s="29"/>
      <c r="CF20" s="15"/>
      <c r="CG20" s="15"/>
      <c r="CH20" s="15"/>
      <c r="CI20" s="29"/>
      <c r="CV20" s="15"/>
      <c r="CW20" s="15"/>
      <c r="CX20" s="15"/>
      <c r="CY20" s="29"/>
      <c r="CZ20" s="15"/>
      <c r="DA20" s="15"/>
      <c r="DB20" s="15"/>
      <c r="DC20" s="29"/>
      <c r="DD20" s="15"/>
      <c r="DE20" s="15"/>
      <c r="DF20" s="15"/>
      <c r="DG20" s="29"/>
      <c r="DH20" s="15"/>
      <c r="DI20" s="15"/>
      <c r="DJ20" s="15"/>
      <c r="DK20" s="29"/>
      <c r="DL20" s="15"/>
      <c r="DM20" s="15"/>
      <c r="DN20" s="15"/>
      <c r="DO20" s="29"/>
      <c r="DP20" s="15"/>
      <c r="DQ20" s="15"/>
      <c r="DR20" s="15"/>
      <c r="DS20" s="29"/>
      <c r="DT20" s="15"/>
      <c r="DU20" s="15"/>
      <c r="DV20" s="15"/>
      <c r="DW20" s="16">
        <f t="shared" si="0"/>
        <v>7.9856000000000007E-3</v>
      </c>
      <c r="DX20" s="17" t="str">
        <f t="shared" si="1"/>
        <v>확인</v>
      </c>
      <c r="DY20" s="17" t="s">
        <v>37</v>
      </c>
    </row>
    <row r="21" spans="1:129" ht="21.95" customHeight="1">
      <c r="A21" s="14" t="s">
        <v>12</v>
      </c>
      <c r="B21" s="14" t="s">
        <v>123</v>
      </c>
      <c r="C21" s="22">
        <v>6125400000</v>
      </c>
      <c r="D21" s="23">
        <v>1.3612000000000001E-2</v>
      </c>
      <c r="E21" s="14" t="s">
        <v>39</v>
      </c>
      <c r="F21" s="15"/>
      <c r="G21" s="29"/>
      <c r="H21" s="15"/>
      <c r="I21" s="15"/>
      <c r="J21" s="15"/>
      <c r="K21" s="29"/>
      <c r="L21" s="15"/>
      <c r="M21" s="15"/>
      <c r="N21" s="15"/>
      <c r="O21" s="29"/>
      <c r="P21" s="15"/>
      <c r="Q21" s="15"/>
      <c r="R21" s="15"/>
      <c r="S21" s="29"/>
      <c r="T21" s="15"/>
      <c r="U21" s="15"/>
      <c r="V21" s="15"/>
      <c r="W21" s="29"/>
      <c r="X21" s="15"/>
      <c r="Y21" s="15"/>
      <c r="Z21" s="15"/>
      <c r="AA21" s="29"/>
      <c r="AB21" s="15"/>
      <c r="AC21" s="15"/>
      <c r="AD21" s="15"/>
      <c r="AE21" s="29"/>
      <c r="AF21" s="15"/>
      <c r="AG21" s="15"/>
      <c r="AH21" s="15"/>
      <c r="AI21" s="29"/>
      <c r="AJ21" s="15"/>
      <c r="AK21" s="15"/>
      <c r="AL21" s="15"/>
      <c r="AM21" s="29"/>
      <c r="AN21" s="15"/>
      <c r="AO21" s="15"/>
      <c r="AP21" s="15"/>
      <c r="AQ21" s="29"/>
      <c r="AR21" s="15"/>
      <c r="AS21" s="15"/>
      <c r="AT21" s="15"/>
      <c r="AU21" s="29"/>
      <c r="AV21" s="15"/>
      <c r="AW21" s="15"/>
      <c r="AX21" s="15"/>
      <c r="AY21" s="29"/>
      <c r="AZ21" s="15"/>
      <c r="BA21" s="15"/>
      <c r="BB21" s="15"/>
      <c r="BC21" s="31">
        <v>9.9820000000000009E-4</v>
      </c>
      <c r="BD21" s="20">
        <v>9.9820000000000009E-4</v>
      </c>
      <c r="BE21" s="20">
        <v>9.9820000000000009E-4</v>
      </c>
      <c r="BF21" s="20">
        <v>9.9820000000000009E-4</v>
      </c>
      <c r="BG21" s="31">
        <v>9.9820000000000009E-4</v>
      </c>
      <c r="BH21" s="20">
        <v>9.9820000000000009E-4</v>
      </c>
      <c r="BI21" s="20">
        <v>9.9820000000000009E-4</v>
      </c>
      <c r="BJ21" s="20">
        <v>9.9820000000000009E-4</v>
      </c>
      <c r="BK21" s="29"/>
      <c r="BL21" s="15"/>
      <c r="BM21" s="15"/>
      <c r="BN21" s="15"/>
      <c r="BO21" s="29"/>
      <c r="BP21" s="15"/>
      <c r="BQ21" s="15"/>
      <c r="BR21" s="15"/>
      <c r="BS21" s="29"/>
      <c r="BT21" s="15"/>
      <c r="BU21" s="15"/>
      <c r="BV21" s="15"/>
      <c r="BW21" s="29"/>
      <c r="BX21" s="15"/>
      <c r="BY21" s="15"/>
      <c r="BZ21" s="15"/>
      <c r="CA21" s="29"/>
      <c r="CB21" s="15"/>
      <c r="CC21" s="15"/>
      <c r="CD21" s="15"/>
      <c r="CE21" s="29"/>
      <c r="CF21" s="15"/>
      <c r="CG21" s="15"/>
      <c r="CH21" s="15"/>
      <c r="CI21" s="29"/>
      <c r="CV21" s="15"/>
      <c r="CW21" s="15"/>
      <c r="CX21" s="15"/>
      <c r="CY21" s="29"/>
      <c r="CZ21" s="15"/>
      <c r="DA21" s="15"/>
      <c r="DB21" s="15"/>
      <c r="DC21" s="29"/>
      <c r="DD21" s="15"/>
      <c r="DE21" s="15"/>
      <c r="DF21" s="15"/>
      <c r="DG21" s="29"/>
      <c r="DH21" s="15"/>
      <c r="DI21" s="15"/>
      <c r="DJ21" s="15"/>
      <c r="DK21" s="29"/>
      <c r="DL21" s="15"/>
      <c r="DM21" s="15"/>
      <c r="DN21" s="15"/>
      <c r="DO21" s="29"/>
      <c r="DP21" s="15"/>
      <c r="DQ21" s="15"/>
      <c r="DR21" s="15"/>
      <c r="DS21" s="29"/>
      <c r="DT21" s="15"/>
      <c r="DU21" s="15"/>
      <c r="DV21" s="15"/>
      <c r="DW21" s="16">
        <f t="shared" si="0"/>
        <v>7.9856000000000007E-3</v>
      </c>
      <c r="DX21" s="17" t="str">
        <f t="shared" si="1"/>
        <v>확인</v>
      </c>
      <c r="DY21" s="17" t="s">
        <v>79</v>
      </c>
    </row>
    <row r="22" spans="1:129" ht="21.95" customHeight="1">
      <c r="A22" s="14" t="s">
        <v>36</v>
      </c>
      <c r="B22" s="14" t="s">
        <v>122</v>
      </c>
      <c r="C22" s="22">
        <v>8983800000</v>
      </c>
      <c r="D22" s="23">
        <v>1.9963999999999999E-2</v>
      </c>
      <c r="E22" s="14"/>
      <c r="F22" s="15"/>
      <c r="G22" s="29"/>
      <c r="H22" s="15"/>
      <c r="I22" s="15"/>
      <c r="J22" s="15"/>
      <c r="K22" s="29"/>
      <c r="L22" s="15"/>
      <c r="M22" s="15"/>
      <c r="N22" s="15"/>
      <c r="O22" s="29"/>
      <c r="P22" s="15"/>
      <c r="Q22" s="15"/>
      <c r="R22" s="15"/>
      <c r="S22" s="29"/>
      <c r="T22" s="15"/>
      <c r="U22" s="15"/>
      <c r="V22" s="15"/>
      <c r="W22" s="29"/>
      <c r="X22" s="15"/>
      <c r="Y22" s="15"/>
      <c r="Z22" s="15"/>
      <c r="AA22" s="29"/>
      <c r="AB22" s="15"/>
      <c r="AC22" s="15"/>
      <c r="AD22" s="15"/>
      <c r="AE22" s="29"/>
      <c r="AF22" s="15"/>
      <c r="AG22" s="15"/>
      <c r="AH22" s="15"/>
      <c r="AI22" s="29"/>
      <c r="AJ22" s="15"/>
      <c r="AK22" s="15"/>
      <c r="AL22" s="15"/>
      <c r="AM22" s="29"/>
      <c r="AN22" s="15"/>
      <c r="AO22" s="15"/>
      <c r="AP22" s="15"/>
      <c r="AQ22" s="29"/>
      <c r="AR22" s="15"/>
      <c r="AS22" s="15"/>
      <c r="AT22" s="15"/>
      <c r="BG22" s="31">
        <v>9.9820000000000009E-4</v>
      </c>
      <c r="BH22" s="20">
        <v>9.9820000000000009E-4</v>
      </c>
      <c r="BI22" s="20">
        <v>9.9820000000000009E-4</v>
      </c>
      <c r="BJ22" s="20">
        <v>9.9820000000000009E-4</v>
      </c>
      <c r="BK22" s="31">
        <v>9.9820000000000009E-4</v>
      </c>
      <c r="BL22" s="20">
        <v>9.9820000000000009E-4</v>
      </c>
      <c r="BM22" s="20">
        <v>9.9820000000000009E-4</v>
      </c>
      <c r="BN22" s="20">
        <v>9.9820000000000009E-4</v>
      </c>
      <c r="BO22" s="31">
        <v>9.9820000000000009E-4</v>
      </c>
      <c r="BP22" s="20">
        <v>9.9820000000000009E-4</v>
      </c>
      <c r="BQ22" s="20">
        <v>9.9820000000000009E-4</v>
      </c>
      <c r="BR22" s="20">
        <v>9.9820000000000009E-4</v>
      </c>
      <c r="BS22" s="29"/>
      <c r="BT22" s="15"/>
      <c r="BU22" s="15"/>
      <c r="BV22" s="15"/>
      <c r="BW22" s="29"/>
      <c r="BX22" s="15"/>
      <c r="BY22" s="15"/>
      <c r="BZ22" s="15"/>
      <c r="CA22" s="29"/>
      <c r="CB22" s="15"/>
      <c r="CC22" s="15"/>
      <c r="CD22" s="15"/>
      <c r="CE22" s="29"/>
      <c r="CF22" s="15"/>
      <c r="CG22" s="15"/>
      <c r="CH22" s="15"/>
      <c r="CI22" s="29"/>
      <c r="CJ22" s="15"/>
      <c r="CK22" s="15"/>
      <c r="CL22" s="15"/>
      <c r="CM22" s="29"/>
      <c r="CZ22" s="15"/>
      <c r="DA22" s="15"/>
      <c r="DB22" s="15"/>
      <c r="DC22" s="29"/>
      <c r="DD22" s="15"/>
      <c r="DE22" s="15"/>
      <c r="DF22" s="15"/>
      <c r="DG22" s="29"/>
      <c r="DH22" s="15"/>
      <c r="DI22" s="15"/>
      <c r="DJ22" s="15"/>
      <c r="DK22" s="29"/>
      <c r="DL22" s="15"/>
      <c r="DM22" s="15"/>
      <c r="DN22" s="15"/>
      <c r="DO22" s="29"/>
      <c r="DP22" s="15"/>
      <c r="DQ22" s="15"/>
      <c r="DR22" s="15"/>
      <c r="DS22" s="29"/>
      <c r="DT22" s="15"/>
      <c r="DU22" s="15"/>
      <c r="DV22" s="15"/>
      <c r="DW22" s="16">
        <f t="shared" ref="DW22:DW30" si="2">SUM(F22:CL22)</f>
        <v>1.1978399999999998E-2</v>
      </c>
      <c r="DX22" s="17" t="str">
        <f t="shared" si="1"/>
        <v>확인</v>
      </c>
      <c r="DY22" s="17" t="s">
        <v>29</v>
      </c>
    </row>
    <row r="23" spans="1:129" ht="21.95" customHeight="1">
      <c r="A23" s="14" t="s">
        <v>36</v>
      </c>
      <c r="B23" s="14" t="s">
        <v>121</v>
      </c>
      <c r="C23" s="22">
        <v>8167050000</v>
      </c>
      <c r="D23" s="23">
        <v>1.8148999999999998E-2</v>
      </c>
      <c r="E23" s="14"/>
      <c r="F23" s="15"/>
      <c r="G23" s="29"/>
      <c r="H23" s="15"/>
      <c r="I23" s="15"/>
      <c r="J23" s="15"/>
      <c r="K23" s="29"/>
      <c r="L23" s="15"/>
      <c r="M23" s="15"/>
      <c r="N23" s="15"/>
      <c r="O23" s="29"/>
      <c r="P23" s="15"/>
      <c r="Q23" s="15"/>
      <c r="R23" s="15"/>
      <c r="S23" s="29"/>
      <c r="T23" s="15"/>
      <c r="U23" s="15"/>
      <c r="V23" s="15"/>
      <c r="W23" s="29"/>
      <c r="X23" s="15"/>
      <c r="Y23" s="15"/>
      <c r="Z23" s="15"/>
      <c r="AA23" s="29"/>
      <c r="AB23" s="15"/>
      <c r="AC23" s="15"/>
      <c r="AD23" s="15"/>
      <c r="AE23" s="29"/>
      <c r="AF23" s="15"/>
      <c r="AG23" s="15"/>
      <c r="AH23" s="15"/>
      <c r="AI23" s="29"/>
      <c r="AJ23" s="15"/>
      <c r="AK23" s="15"/>
      <c r="AL23" s="15"/>
      <c r="AM23" s="29"/>
      <c r="AN23" s="15"/>
      <c r="AO23" s="15"/>
      <c r="AP23" s="15"/>
      <c r="AQ23" s="29"/>
      <c r="AR23" s="15"/>
      <c r="AS23" s="15"/>
      <c r="AT23" s="15"/>
      <c r="BG23" s="29"/>
      <c r="BH23" s="15"/>
      <c r="BI23" s="20">
        <v>9.9820000000000009E-4</v>
      </c>
      <c r="BJ23" s="20">
        <v>9.9820000000000009E-4</v>
      </c>
      <c r="BK23" s="31">
        <v>9.9820000000000009E-4</v>
      </c>
      <c r="BL23" s="20">
        <v>9.9820000000000009E-4</v>
      </c>
      <c r="BM23" s="20">
        <v>9.9820000000000009E-4</v>
      </c>
      <c r="BN23" s="20">
        <v>9.9820000000000009E-4</v>
      </c>
      <c r="BO23" s="31">
        <v>9.9820000000000009E-4</v>
      </c>
      <c r="BP23" s="20">
        <v>9.9820000000000009E-4</v>
      </c>
      <c r="BQ23" s="20">
        <v>9.9820000000000009E-4</v>
      </c>
      <c r="BR23" s="20">
        <v>9.9820000000000009E-4</v>
      </c>
      <c r="BS23" s="31">
        <v>9.9820000000000009E-4</v>
      </c>
      <c r="BT23" s="20">
        <v>9.9820000000000009E-4</v>
      </c>
      <c r="BU23" s="20">
        <v>9.9820000000000009E-4</v>
      </c>
      <c r="BV23" s="20">
        <v>9.9820000000000009E-4</v>
      </c>
      <c r="BW23" s="29"/>
      <c r="BX23" s="15"/>
      <c r="BY23" s="15"/>
      <c r="BZ23" s="15"/>
      <c r="CA23" s="29"/>
      <c r="CB23" s="15"/>
      <c r="CC23" s="15"/>
      <c r="CD23" s="15"/>
      <c r="CE23" s="29"/>
      <c r="CF23" s="15"/>
      <c r="CG23" s="15"/>
      <c r="CH23" s="15"/>
      <c r="CI23" s="29"/>
      <c r="CJ23" s="15"/>
      <c r="CK23" s="15"/>
      <c r="CL23" s="15"/>
      <c r="CM23" s="29"/>
      <c r="CZ23" s="15"/>
      <c r="DA23" s="15"/>
      <c r="DB23" s="15"/>
      <c r="DC23" s="29"/>
      <c r="DD23" s="15"/>
      <c r="DE23" s="15"/>
      <c r="DF23" s="15"/>
      <c r="DG23" s="29"/>
      <c r="DH23" s="15"/>
      <c r="DI23" s="15"/>
      <c r="DJ23" s="15"/>
      <c r="DK23" s="29"/>
      <c r="DL23" s="15"/>
      <c r="DM23" s="15"/>
      <c r="DN23" s="15"/>
      <c r="DO23" s="29"/>
      <c r="DP23" s="15"/>
      <c r="DQ23" s="15"/>
      <c r="DR23" s="15"/>
      <c r="DS23" s="29"/>
      <c r="DT23" s="15"/>
      <c r="DU23" s="15"/>
      <c r="DV23" s="15"/>
      <c r="DW23" s="16">
        <f t="shared" si="2"/>
        <v>1.3974799999999997E-2</v>
      </c>
      <c r="DX23" s="17" t="str">
        <f t="shared" si="1"/>
        <v>확인</v>
      </c>
      <c r="DY23" s="17" t="s">
        <v>32</v>
      </c>
    </row>
    <row r="24" spans="1:129" s="26" customFormat="1" ht="21.95" customHeight="1">
      <c r="A24" s="33" t="s">
        <v>36</v>
      </c>
      <c r="B24" s="33" t="s">
        <v>120</v>
      </c>
      <c r="C24" s="34">
        <v>6533550000</v>
      </c>
      <c r="D24" s="35">
        <v>1.4519000000000001E-2</v>
      </c>
      <c r="E24" s="33" t="s">
        <v>80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BG24" s="29"/>
      <c r="BH24" s="29"/>
      <c r="BI24" s="31">
        <v>9.9820000000000009E-4</v>
      </c>
      <c r="BJ24" s="31">
        <v>9.9820000000000009E-4</v>
      </c>
      <c r="BK24" s="31">
        <v>9.9820000000000009E-4</v>
      </c>
      <c r="BL24" s="31">
        <v>9.9820000000000009E-4</v>
      </c>
      <c r="BM24" s="31">
        <v>9.9820000000000009E-4</v>
      </c>
      <c r="BN24" s="31">
        <v>9.9820000000000009E-4</v>
      </c>
      <c r="BO24" s="31">
        <v>9.9820000000000009E-4</v>
      </c>
      <c r="BP24" s="31">
        <v>9.9820000000000009E-4</v>
      </c>
      <c r="BQ24" s="31">
        <v>9.9820000000000009E-4</v>
      </c>
      <c r="BR24" s="31">
        <v>9.9820000000000009E-4</v>
      </c>
      <c r="BS24" s="31">
        <v>9.9820000000000009E-4</v>
      </c>
      <c r="BT24" s="31">
        <v>9.9820000000000009E-4</v>
      </c>
      <c r="BU24" s="31">
        <v>9.9820000000000009E-4</v>
      </c>
      <c r="BV24" s="31">
        <v>9.9820000000000009E-4</v>
      </c>
      <c r="BW24" s="31">
        <v>9.9820000000000009E-4</v>
      </c>
      <c r="BX24" s="31">
        <v>9.9820000000000009E-4</v>
      </c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36">
        <f t="shared" si="2"/>
        <v>1.5971199999999998E-2</v>
      </c>
      <c r="DX24" s="37" t="str">
        <f t="shared" si="1"/>
        <v>확인</v>
      </c>
      <c r="DY24" s="37" t="s">
        <v>28</v>
      </c>
    </row>
    <row r="25" spans="1:129" ht="21.95" customHeight="1">
      <c r="A25" s="14" t="s">
        <v>36</v>
      </c>
      <c r="B25" s="14" t="s">
        <v>119</v>
      </c>
      <c r="C25" s="22">
        <v>5716800000</v>
      </c>
      <c r="D25" s="23">
        <v>1.2704E-2</v>
      </c>
      <c r="E25" s="14"/>
      <c r="F25" s="15"/>
      <c r="G25" s="29"/>
      <c r="H25" s="15"/>
      <c r="I25" s="15"/>
      <c r="J25" s="15"/>
      <c r="K25" s="29"/>
      <c r="L25" s="15"/>
      <c r="M25" s="15"/>
      <c r="N25" s="15"/>
      <c r="O25" s="29"/>
      <c r="P25" s="15"/>
      <c r="Q25" s="15"/>
      <c r="R25" s="15"/>
      <c r="S25" s="29"/>
      <c r="T25" s="15"/>
      <c r="U25" s="15"/>
      <c r="V25" s="15"/>
      <c r="W25" s="29"/>
      <c r="X25" s="15"/>
      <c r="Y25" s="15"/>
      <c r="Z25" s="15"/>
      <c r="AA25" s="29"/>
      <c r="AB25" s="15"/>
      <c r="AC25" s="15"/>
      <c r="AD25" s="15"/>
      <c r="AE25" s="29"/>
      <c r="AF25" s="15"/>
      <c r="AG25" s="15"/>
      <c r="AH25" s="15"/>
      <c r="AI25" s="29"/>
      <c r="AJ25" s="15"/>
      <c r="AK25" s="15"/>
      <c r="AL25" s="15"/>
      <c r="AM25" s="29"/>
      <c r="AN25" s="15"/>
      <c r="AO25" s="15"/>
      <c r="AP25" s="15"/>
      <c r="AQ25" s="29"/>
      <c r="AR25" s="15"/>
      <c r="AS25" s="15"/>
      <c r="AT25" s="15"/>
      <c r="BG25" s="29"/>
      <c r="BH25" s="15"/>
      <c r="BI25" s="15"/>
      <c r="BJ25" s="15"/>
      <c r="BK25" s="29"/>
      <c r="BL25" s="15"/>
      <c r="BM25" s="15"/>
      <c r="BN25" s="15"/>
      <c r="BO25" s="31">
        <v>9.9820000000000009E-4</v>
      </c>
      <c r="BP25" s="20">
        <v>9.9820000000000009E-4</v>
      </c>
      <c r="BQ25" s="20">
        <v>9.9820000000000009E-4</v>
      </c>
      <c r="BR25" s="20">
        <v>9.9820000000000009E-4</v>
      </c>
      <c r="BS25" s="31">
        <v>9.9820000000000009E-4</v>
      </c>
      <c r="BT25" s="20">
        <v>9.9820000000000009E-4</v>
      </c>
      <c r="BU25" s="20">
        <v>9.9820000000000009E-4</v>
      </c>
      <c r="BV25" s="20">
        <v>9.9820000000000009E-4</v>
      </c>
      <c r="BW25" s="31">
        <v>9.9820000000000009E-4</v>
      </c>
      <c r="BX25" s="20">
        <v>9.9820000000000009E-4</v>
      </c>
      <c r="BY25" s="20">
        <v>9.9820000000000009E-4</v>
      </c>
      <c r="BZ25" s="20">
        <v>9.9820000000000009E-4</v>
      </c>
      <c r="CA25" s="29"/>
      <c r="CB25" s="15"/>
      <c r="CC25" s="15"/>
      <c r="CD25" s="15"/>
      <c r="CE25" s="29"/>
      <c r="CF25" s="15"/>
      <c r="CG25" s="15"/>
      <c r="CH25" s="15"/>
      <c r="CI25" s="29"/>
      <c r="CJ25" s="15"/>
      <c r="CK25" s="15"/>
      <c r="CL25" s="15"/>
      <c r="CM25" s="29"/>
      <c r="CZ25" s="15"/>
      <c r="DA25" s="15"/>
      <c r="DB25" s="15"/>
      <c r="DC25" s="29"/>
      <c r="DD25" s="15"/>
      <c r="DE25" s="15"/>
      <c r="DF25" s="15"/>
      <c r="DG25" s="29"/>
      <c r="DH25" s="15"/>
      <c r="DI25" s="15"/>
      <c r="DJ25" s="15"/>
      <c r="DK25" s="29"/>
      <c r="DL25" s="15"/>
      <c r="DM25" s="15"/>
      <c r="DN25" s="15"/>
      <c r="DO25" s="29"/>
      <c r="DP25" s="15"/>
      <c r="DQ25" s="15"/>
      <c r="DR25" s="15"/>
      <c r="DS25" s="29"/>
      <c r="DT25" s="15"/>
      <c r="DU25" s="15"/>
      <c r="DV25" s="15"/>
      <c r="DW25" s="16">
        <f t="shared" si="2"/>
        <v>1.1978399999999998E-2</v>
      </c>
      <c r="DX25" s="17" t="str">
        <f t="shared" si="1"/>
        <v>확인</v>
      </c>
      <c r="DY25" s="17" t="s">
        <v>30</v>
      </c>
    </row>
    <row r="26" spans="1:129" ht="21.95" customHeight="1">
      <c r="A26" s="14" t="s">
        <v>36</v>
      </c>
      <c r="B26" s="14" t="s">
        <v>118</v>
      </c>
      <c r="C26" s="22">
        <v>14292000000</v>
      </c>
      <c r="D26" s="23">
        <v>3.1759999999999997E-2</v>
      </c>
      <c r="E26" s="14" t="s">
        <v>38</v>
      </c>
      <c r="F26" s="15"/>
      <c r="G26" s="29"/>
      <c r="H26" s="15"/>
      <c r="I26" s="15"/>
      <c r="J26" s="15"/>
      <c r="K26" s="29"/>
      <c r="L26" s="15"/>
      <c r="M26" s="15"/>
      <c r="N26" s="15"/>
      <c r="O26" s="29"/>
      <c r="P26" s="15"/>
      <c r="Q26" s="15"/>
      <c r="R26" s="15"/>
      <c r="S26" s="29"/>
      <c r="T26" s="15"/>
      <c r="U26" s="15"/>
      <c r="V26" s="15"/>
      <c r="W26" s="29"/>
      <c r="X26" s="15"/>
      <c r="Y26" s="15"/>
      <c r="Z26" s="15"/>
      <c r="AA26" s="29"/>
      <c r="AB26" s="15"/>
      <c r="AC26" s="15"/>
      <c r="AD26" s="15"/>
      <c r="AE26" s="29"/>
      <c r="AF26" s="15"/>
      <c r="AG26" s="15"/>
      <c r="AH26" s="15"/>
      <c r="AI26" s="29"/>
      <c r="AJ26" s="15"/>
      <c r="AK26" s="15"/>
      <c r="AL26" s="15"/>
      <c r="AM26" s="29"/>
      <c r="AN26" s="15"/>
      <c r="AO26" s="15"/>
      <c r="AP26" s="15"/>
      <c r="AQ26" s="29"/>
      <c r="AR26" s="15"/>
      <c r="AS26" s="15"/>
      <c r="AT26" s="15"/>
      <c r="BG26" s="29"/>
      <c r="BH26" s="15"/>
      <c r="BI26" s="15"/>
      <c r="BJ26" s="15"/>
      <c r="BK26" s="29"/>
      <c r="BL26" s="15"/>
      <c r="BM26" s="15"/>
      <c r="BN26" s="15"/>
      <c r="BO26" s="31">
        <v>9.9820000000000009E-4</v>
      </c>
      <c r="BP26" s="20">
        <v>9.9820000000000009E-4</v>
      </c>
      <c r="BQ26" s="20">
        <v>9.9820000000000009E-4</v>
      </c>
      <c r="BR26" s="20">
        <v>9.9820000000000009E-4</v>
      </c>
      <c r="BS26" s="31">
        <v>9.9820000000000009E-4</v>
      </c>
      <c r="BT26" s="20">
        <v>9.9820000000000009E-4</v>
      </c>
      <c r="BU26" s="20">
        <v>9.9820000000000009E-4</v>
      </c>
      <c r="BV26" s="20">
        <v>9.9820000000000009E-4</v>
      </c>
      <c r="BW26" s="31">
        <v>9.9820000000000009E-4</v>
      </c>
      <c r="BX26" s="20">
        <v>9.9820000000000009E-4</v>
      </c>
      <c r="BY26" s="20">
        <v>9.9820000000000009E-4</v>
      </c>
      <c r="BZ26" s="20">
        <v>9.9820000000000009E-4</v>
      </c>
      <c r="CA26" s="29"/>
      <c r="CB26" s="15"/>
      <c r="CC26" s="15"/>
      <c r="CD26" s="15"/>
      <c r="CE26" s="29"/>
      <c r="CF26" s="15"/>
      <c r="CG26" s="15"/>
      <c r="CH26" s="15"/>
      <c r="CI26" s="29"/>
      <c r="CJ26" s="15"/>
      <c r="CK26" s="15"/>
      <c r="CL26" s="15"/>
      <c r="CM26" s="29"/>
      <c r="CZ26" s="15"/>
      <c r="DA26" s="15"/>
      <c r="DB26" s="15"/>
      <c r="DC26" s="29"/>
      <c r="DD26" s="15"/>
      <c r="DE26" s="15"/>
      <c r="DF26" s="15"/>
      <c r="DG26" s="29"/>
      <c r="DH26" s="15"/>
      <c r="DI26" s="15"/>
      <c r="DJ26" s="15"/>
      <c r="DK26" s="29"/>
      <c r="DL26" s="15"/>
      <c r="DM26" s="15"/>
      <c r="DN26" s="15"/>
      <c r="DO26" s="29"/>
      <c r="DP26" s="15"/>
      <c r="DQ26" s="15"/>
      <c r="DR26" s="15"/>
      <c r="DS26" s="29"/>
      <c r="DT26" s="15"/>
      <c r="DU26" s="15"/>
      <c r="DV26" s="15"/>
      <c r="DW26" s="16">
        <f t="shared" si="2"/>
        <v>1.1978399999999998E-2</v>
      </c>
      <c r="DX26" s="17" t="str">
        <f t="shared" si="1"/>
        <v>확인</v>
      </c>
      <c r="DY26" s="17" t="s">
        <v>31</v>
      </c>
    </row>
    <row r="27" spans="1:129" ht="21.95" customHeight="1">
      <c r="A27" s="14" t="s">
        <v>36</v>
      </c>
      <c r="B27" s="14" t="s">
        <v>117</v>
      </c>
      <c r="C27" s="22">
        <v>6125400000</v>
      </c>
      <c r="D27" s="23">
        <v>1.3612000000000001E-2</v>
      </c>
      <c r="E27" s="14"/>
      <c r="F27" s="15"/>
      <c r="G27" s="29"/>
      <c r="H27" s="15"/>
      <c r="I27" s="15"/>
      <c r="J27" s="15"/>
      <c r="K27" s="29"/>
      <c r="L27" s="15"/>
      <c r="M27" s="15"/>
      <c r="N27" s="15"/>
      <c r="O27" s="29"/>
      <c r="P27" s="15"/>
      <c r="Q27" s="15"/>
      <c r="R27" s="15"/>
      <c r="S27" s="29"/>
      <c r="T27" s="15"/>
      <c r="U27" s="15"/>
      <c r="V27" s="15"/>
      <c r="W27" s="29"/>
      <c r="X27" s="15"/>
      <c r="Y27" s="15"/>
      <c r="Z27" s="15"/>
      <c r="AA27" s="29"/>
      <c r="AB27" s="15"/>
      <c r="AC27" s="15"/>
      <c r="AD27" s="15"/>
      <c r="AE27" s="29"/>
      <c r="AF27" s="15"/>
      <c r="AG27" s="15"/>
      <c r="AH27" s="15"/>
      <c r="AI27" s="29"/>
      <c r="AJ27" s="15"/>
      <c r="AK27" s="15"/>
      <c r="AL27" s="15"/>
      <c r="AM27" s="29"/>
      <c r="AN27" s="15"/>
      <c r="AO27" s="15"/>
      <c r="AP27" s="15"/>
      <c r="AQ27" s="29"/>
      <c r="AR27" s="15"/>
      <c r="AS27" s="15"/>
      <c r="AT27" s="15"/>
      <c r="BG27" s="29"/>
      <c r="BH27" s="15"/>
      <c r="BI27" s="15"/>
      <c r="BJ27" s="15"/>
      <c r="BK27" s="29"/>
      <c r="BL27" s="15"/>
      <c r="BM27" s="15"/>
      <c r="BN27" s="15"/>
      <c r="BO27" s="31">
        <v>9.9820000000000009E-4</v>
      </c>
      <c r="BP27" s="20">
        <v>9.9820000000000009E-4</v>
      </c>
      <c r="BQ27" s="20">
        <v>9.9820000000000009E-4</v>
      </c>
      <c r="BR27" s="20">
        <v>9.9820000000000009E-4</v>
      </c>
      <c r="BS27" s="31">
        <v>9.9820000000000009E-4</v>
      </c>
      <c r="BT27" s="20">
        <v>9.9820000000000009E-4</v>
      </c>
      <c r="BU27" s="20">
        <v>9.9820000000000009E-4</v>
      </c>
      <c r="BV27" s="20">
        <v>9.9820000000000009E-4</v>
      </c>
      <c r="BW27" s="31">
        <v>9.9820000000000009E-4</v>
      </c>
      <c r="BX27" s="20">
        <v>9.9820000000000009E-4</v>
      </c>
      <c r="BY27" s="20">
        <v>9.9820000000000009E-4</v>
      </c>
      <c r="BZ27" s="20">
        <v>9.9820000000000009E-4</v>
      </c>
      <c r="CA27" s="29"/>
      <c r="CB27" s="15"/>
      <c r="CC27" s="15"/>
      <c r="CD27" s="15"/>
      <c r="CE27" s="29"/>
      <c r="CF27" s="15"/>
      <c r="CG27" s="15"/>
      <c r="CH27" s="15"/>
      <c r="CI27" s="29"/>
      <c r="CJ27" s="15"/>
      <c r="CK27" s="15"/>
      <c r="CL27" s="15"/>
      <c r="CM27" s="29"/>
      <c r="CZ27" s="15"/>
      <c r="DA27" s="15"/>
      <c r="DB27" s="15"/>
      <c r="DC27" s="29"/>
      <c r="DD27" s="15"/>
      <c r="DE27" s="15"/>
      <c r="DF27" s="15"/>
      <c r="DG27" s="29"/>
      <c r="DH27" s="15"/>
      <c r="DI27" s="15"/>
      <c r="DJ27" s="15"/>
      <c r="DK27" s="29"/>
      <c r="DL27" s="15"/>
      <c r="DM27" s="15"/>
      <c r="DN27" s="15"/>
      <c r="DO27" s="29"/>
      <c r="DP27" s="15"/>
      <c r="DQ27" s="15"/>
      <c r="DR27" s="15"/>
      <c r="DS27" s="29"/>
      <c r="DT27" s="15"/>
      <c r="DU27" s="15"/>
      <c r="DV27" s="15"/>
      <c r="DW27" s="16">
        <f t="shared" si="2"/>
        <v>1.1978399999999998E-2</v>
      </c>
      <c r="DX27" s="17" t="str">
        <f t="shared" si="1"/>
        <v>확인</v>
      </c>
      <c r="DY27" s="17" t="s">
        <v>33</v>
      </c>
    </row>
    <row r="28" spans="1:129" s="26" customFormat="1" ht="21.95" customHeight="1">
      <c r="A28" s="33" t="s">
        <v>36</v>
      </c>
      <c r="B28" s="33" t="s">
        <v>116</v>
      </c>
      <c r="C28" s="34">
        <v>9800550000</v>
      </c>
      <c r="D28" s="35">
        <v>2.1779E-2</v>
      </c>
      <c r="E28" s="33" t="s">
        <v>35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31">
        <v>9.9820000000000009E-4</v>
      </c>
      <c r="BT28" s="31">
        <v>9.9820000000000009E-4</v>
      </c>
      <c r="BU28" s="31">
        <v>9.9820000000000009E-4</v>
      </c>
      <c r="BV28" s="31">
        <v>9.9820000000000009E-4</v>
      </c>
      <c r="BW28" s="31">
        <v>9.9820000000000009E-4</v>
      </c>
      <c r="BX28" s="31">
        <v>9.9820000000000009E-4</v>
      </c>
      <c r="BY28" s="31">
        <v>9.9820000000000009E-4</v>
      </c>
      <c r="BZ28" s="31">
        <v>9.9820000000000009E-4</v>
      </c>
      <c r="CA28" s="31">
        <v>9.9820000000000009E-4</v>
      </c>
      <c r="CB28" s="31">
        <v>9.9820000000000009E-4</v>
      </c>
      <c r="CC28" s="31">
        <v>9.9820000000000009E-4</v>
      </c>
      <c r="CD28" s="31">
        <v>9.9820000000000009E-4</v>
      </c>
      <c r="CE28" s="31"/>
      <c r="CF28" s="29"/>
      <c r="CG28" s="29"/>
      <c r="CH28" s="29"/>
      <c r="CI28" s="29"/>
      <c r="CJ28" s="29"/>
      <c r="CK28" s="29"/>
      <c r="CL28" s="29"/>
      <c r="CM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36">
        <f t="shared" si="2"/>
        <v>1.1978399999999998E-2</v>
      </c>
      <c r="DX28" s="37" t="str">
        <f t="shared" si="1"/>
        <v>확인</v>
      </c>
      <c r="DY28" s="37" t="s">
        <v>34</v>
      </c>
    </row>
    <row r="29" spans="1:129" s="26" customFormat="1" ht="21.95" customHeight="1">
      <c r="A29" s="33" t="s">
        <v>36</v>
      </c>
      <c r="B29" s="33" t="s">
        <v>115</v>
      </c>
      <c r="C29" s="34">
        <v>10208700000</v>
      </c>
      <c r="D29" s="35">
        <v>2.2686000000000001E-2</v>
      </c>
      <c r="E29" s="33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31">
        <v>9.9820000000000009E-4</v>
      </c>
      <c r="BR29" s="31">
        <v>9.9820000000000009E-4</v>
      </c>
      <c r="BS29" s="31">
        <v>9.9820000000000009E-4</v>
      </c>
      <c r="BT29" s="31">
        <v>9.9820000000000009E-4</v>
      </c>
      <c r="BU29" s="31">
        <v>9.9820000000000009E-4</v>
      </c>
      <c r="BV29" s="31">
        <v>9.9820000000000009E-4</v>
      </c>
      <c r="BW29" s="31">
        <v>9.9820000000000009E-4</v>
      </c>
      <c r="BX29" s="31">
        <v>9.9820000000000009E-4</v>
      </c>
      <c r="BY29" s="31">
        <v>9.9820000000000009E-4</v>
      </c>
      <c r="BZ29" s="31">
        <v>9.9820000000000009E-4</v>
      </c>
      <c r="CA29" s="31">
        <v>9.9820000000000009E-4</v>
      </c>
      <c r="CB29" s="31">
        <v>9.9820000000000009E-4</v>
      </c>
      <c r="CC29" s="29"/>
      <c r="CD29" s="29"/>
      <c r="CE29" s="31"/>
      <c r="CF29" s="29"/>
      <c r="CG29" s="29"/>
      <c r="CH29" s="29"/>
      <c r="CI29" s="29"/>
      <c r="CJ29" s="29"/>
      <c r="CK29" s="29"/>
      <c r="CL29" s="29"/>
      <c r="CM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36">
        <f t="shared" si="2"/>
        <v>1.1978399999999998E-2</v>
      </c>
      <c r="DX29" s="37" t="str">
        <f t="shared" si="1"/>
        <v>확인</v>
      </c>
      <c r="DY29" s="37" t="s">
        <v>47</v>
      </c>
    </row>
    <row r="30" spans="1:129" s="26" customFormat="1" ht="21.95" customHeight="1">
      <c r="A30" s="33" t="s">
        <v>36</v>
      </c>
      <c r="B30" s="33" t="s">
        <v>114</v>
      </c>
      <c r="C30" s="34">
        <v>8167050000</v>
      </c>
      <c r="D30" s="35">
        <v>1.8148999999999998E-2</v>
      </c>
      <c r="E30" s="33" t="s">
        <v>81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31">
        <v>9.9820000000000009E-4</v>
      </c>
      <c r="BR30" s="31">
        <v>9.9820000000000009E-4</v>
      </c>
      <c r="BS30" s="31">
        <v>9.9820000000000009E-4</v>
      </c>
      <c r="BT30" s="31">
        <v>9.9820000000000009E-4</v>
      </c>
      <c r="BU30" s="31">
        <v>9.9820000000000009E-4</v>
      </c>
      <c r="BV30" s="31">
        <v>9.9820000000000009E-4</v>
      </c>
      <c r="BW30" s="31">
        <v>9.9820000000000009E-4</v>
      </c>
      <c r="BX30" s="31">
        <v>9.9820000000000009E-4</v>
      </c>
      <c r="BY30" s="31">
        <v>9.9820000000000009E-4</v>
      </c>
      <c r="BZ30" s="31">
        <v>9.9820000000000009E-4</v>
      </c>
      <c r="CA30" s="31">
        <v>9.9820000000000009E-4</v>
      </c>
      <c r="CB30" s="31">
        <v>9.9820000000000009E-4</v>
      </c>
      <c r="CC30" s="29"/>
      <c r="CD30" s="29"/>
      <c r="CE30" s="31"/>
      <c r="CF30" s="29"/>
      <c r="CG30" s="29"/>
      <c r="CH30" s="29"/>
      <c r="CI30" s="29"/>
      <c r="CJ30" s="29"/>
      <c r="CK30" s="29"/>
      <c r="CL30" s="29"/>
      <c r="CM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36">
        <f t="shared" si="2"/>
        <v>1.1978399999999998E-2</v>
      </c>
      <c r="DX30" s="37" t="str">
        <f t="shared" si="1"/>
        <v>확인</v>
      </c>
      <c r="DY30" s="37" t="s">
        <v>45</v>
      </c>
    </row>
    <row r="31" spans="1:129" s="26" customFormat="1" ht="21.95" customHeight="1">
      <c r="A31" s="33" t="s">
        <v>36</v>
      </c>
      <c r="B31" s="33" t="s">
        <v>113</v>
      </c>
      <c r="C31" s="34">
        <v>13067100000</v>
      </c>
      <c r="D31" s="35">
        <v>2.9038000000000001E-2</v>
      </c>
      <c r="E31" s="33" t="s">
        <v>40</v>
      </c>
      <c r="F31" s="33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31">
        <v>9.9820000000000009E-4</v>
      </c>
      <c r="CJ31" s="31">
        <v>9.9820000000000009E-4</v>
      </c>
      <c r="CK31" s="31">
        <v>9.9820000000000009E-4</v>
      </c>
      <c r="CL31" s="31">
        <v>9.9820000000000009E-4</v>
      </c>
      <c r="CM31" s="31">
        <v>9.9820000000000009E-4</v>
      </c>
      <c r="CN31" s="31">
        <v>9.9820000000000009E-4</v>
      </c>
      <c r="CO31" s="31">
        <v>9.9820000000000009E-4</v>
      </c>
      <c r="CP31" s="31">
        <v>9.9820000000000009E-4</v>
      </c>
      <c r="CQ31" s="31">
        <v>9.9820000000000009E-4</v>
      </c>
      <c r="CR31" s="31">
        <v>9.9820000000000009E-4</v>
      </c>
      <c r="CS31" s="31">
        <v>9.9820000000000009E-4</v>
      </c>
      <c r="CT31" s="31">
        <v>9.9820000000000009E-4</v>
      </c>
      <c r="CU31" s="31">
        <v>9.9820000000000009E-4</v>
      </c>
      <c r="CV31" s="31">
        <v>9.9820000000000009E-4</v>
      </c>
      <c r="CW31" s="31">
        <v>9.9820000000000009E-4</v>
      </c>
      <c r="CX31" s="31">
        <v>9.9820000000000009E-4</v>
      </c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6">
        <f>SUM(G31:CN31)</f>
        <v>5.9892000000000009E-3</v>
      </c>
      <c r="DX31" s="37" t="str">
        <f t="shared" si="1"/>
        <v>확인</v>
      </c>
      <c r="DY31" s="37" t="s">
        <v>46</v>
      </c>
    </row>
    <row r="32" spans="1:129" s="26" customFormat="1" ht="21.95" customHeight="1">
      <c r="A32" s="33" t="s">
        <v>36</v>
      </c>
      <c r="B32" s="33" t="s">
        <v>131</v>
      </c>
      <c r="C32" s="34">
        <v>8167050000</v>
      </c>
      <c r="D32" s="35">
        <v>1.8148999999999998E-2</v>
      </c>
      <c r="E32" s="33"/>
      <c r="F32" s="33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G32" s="29"/>
      <c r="BH32" s="29"/>
      <c r="BI32" s="29"/>
      <c r="BJ32" s="29"/>
      <c r="BK32" s="29"/>
      <c r="BL32" s="29"/>
      <c r="BM32" s="29"/>
      <c r="BN32" s="29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>
        <v>9.9820000000000009E-4</v>
      </c>
      <c r="CB32" s="31">
        <v>9.9820000000000009E-4</v>
      </c>
      <c r="CC32" s="31">
        <v>9.9820000000000009E-4</v>
      </c>
      <c r="CD32" s="31">
        <v>9.9820000000000009E-4</v>
      </c>
      <c r="CE32" s="31">
        <v>9.9820000000000009E-4</v>
      </c>
      <c r="CF32" s="31">
        <v>9.9820000000000009E-4</v>
      </c>
      <c r="CG32" s="31">
        <v>9.9820000000000009E-4</v>
      </c>
      <c r="CH32" s="31">
        <v>9.9820000000000009E-4</v>
      </c>
      <c r="CI32" s="31">
        <v>9.9820000000000009E-4</v>
      </c>
      <c r="CJ32" s="31">
        <v>9.9820000000000009E-4</v>
      </c>
      <c r="CK32" s="31">
        <v>9.9820000000000009E-4</v>
      </c>
      <c r="CL32" s="31">
        <v>9.9820000000000009E-4</v>
      </c>
      <c r="CM32" s="31">
        <v>9.9820000000000009E-4</v>
      </c>
      <c r="CN32" s="31">
        <v>9.9820000000000009E-4</v>
      </c>
      <c r="CO32" s="31">
        <v>9.9820000000000009E-4</v>
      </c>
      <c r="CP32" s="31">
        <v>9.9820000000000009E-4</v>
      </c>
      <c r="CQ32" s="31">
        <v>9.9820000000000009E-4</v>
      </c>
      <c r="CR32" s="31">
        <v>9.9820000000000009E-4</v>
      </c>
      <c r="CS32" s="31">
        <v>9.9820000000000009E-4</v>
      </c>
      <c r="CT32" s="31">
        <v>9.9820000000000009E-4</v>
      </c>
      <c r="CU32" s="31"/>
      <c r="CV32" s="31"/>
      <c r="CW32" s="31"/>
      <c r="CX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6">
        <f>SUM(G32:CN32)</f>
        <v>1.3974799999999997E-2</v>
      </c>
      <c r="DX32" s="37" t="str">
        <f t="shared" si="1"/>
        <v>확인</v>
      </c>
      <c r="DY32" s="37" t="s">
        <v>49</v>
      </c>
    </row>
    <row r="33" spans="1:129" ht="21.95" customHeight="1">
      <c r="A33" s="14" t="s">
        <v>36</v>
      </c>
      <c r="B33" s="14" t="s">
        <v>132</v>
      </c>
      <c r="C33" s="22">
        <v>10208700000</v>
      </c>
      <c r="D33" s="23">
        <v>2.2686000000000001E-2</v>
      </c>
      <c r="E33" s="14"/>
      <c r="F33" s="14"/>
      <c r="G33" s="29"/>
      <c r="H33" s="15"/>
      <c r="I33" s="15"/>
      <c r="J33" s="15"/>
      <c r="K33" s="29"/>
      <c r="L33" s="15"/>
      <c r="M33" s="15"/>
      <c r="N33" s="15"/>
      <c r="O33" s="29"/>
      <c r="P33" s="15"/>
      <c r="Q33" s="15"/>
      <c r="R33" s="15"/>
      <c r="S33" s="29"/>
      <c r="T33" s="15"/>
      <c r="U33" s="15"/>
      <c r="V33" s="15"/>
      <c r="W33" s="29"/>
      <c r="X33" s="15"/>
      <c r="Y33" s="15"/>
      <c r="Z33" s="15"/>
      <c r="AA33" s="29"/>
      <c r="AB33" s="15"/>
      <c r="AC33" s="15"/>
      <c r="AD33" s="15"/>
      <c r="AE33" s="29"/>
      <c r="AF33" s="15"/>
      <c r="AG33" s="15"/>
      <c r="AH33" s="15"/>
      <c r="AI33" s="29"/>
      <c r="AJ33" s="15"/>
      <c r="AK33" s="15"/>
      <c r="AL33" s="15"/>
      <c r="AM33" s="29"/>
      <c r="AN33" s="15"/>
      <c r="AO33" s="15"/>
      <c r="AP33" s="15"/>
      <c r="AQ33" s="29"/>
      <c r="AR33" s="15"/>
      <c r="AS33" s="15"/>
      <c r="AT33" s="15"/>
      <c r="AU33" s="29"/>
      <c r="AV33" s="15"/>
      <c r="AW33" s="15"/>
      <c r="AX33" s="15"/>
      <c r="AY33" s="29"/>
      <c r="AZ33" s="15"/>
      <c r="BA33" s="15"/>
      <c r="BB33" s="15"/>
      <c r="BG33" s="29"/>
      <c r="BH33" s="15"/>
      <c r="BI33" s="15"/>
      <c r="BJ33" s="15"/>
      <c r="BK33" s="29"/>
      <c r="BL33" s="15"/>
      <c r="BM33" s="15"/>
      <c r="BN33" s="15"/>
      <c r="BO33" s="31"/>
      <c r="BP33" s="20"/>
      <c r="BQ33" s="20"/>
      <c r="BR33" s="20"/>
      <c r="BS33" s="31"/>
      <c r="BT33" s="20"/>
      <c r="BU33" s="20"/>
      <c r="BV33" s="20"/>
      <c r="BW33" s="31"/>
      <c r="BX33" s="20"/>
      <c r="BY33" s="20"/>
      <c r="BZ33" s="20"/>
      <c r="CA33" s="31"/>
      <c r="CB33" s="20"/>
      <c r="CC33" s="20"/>
      <c r="CD33" s="20"/>
      <c r="CE33" s="31"/>
      <c r="CF33" s="20"/>
      <c r="CG33" s="20"/>
      <c r="CH33" s="20"/>
      <c r="CI33" s="31">
        <v>9.9820000000000009E-4</v>
      </c>
      <c r="CJ33" s="20">
        <v>9.9820000000000009E-4</v>
      </c>
      <c r="CK33" s="20">
        <v>9.9820000000000009E-4</v>
      </c>
      <c r="CL33" s="20">
        <v>9.9820000000000009E-4</v>
      </c>
      <c r="CM33" s="31">
        <v>9.9820000000000009E-4</v>
      </c>
      <c r="CN33" s="20">
        <v>9.9820000000000009E-4</v>
      </c>
      <c r="CO33" s="20">
        <v>9.9820000000000009E-4</v>
      </c>
      <c r="CP33" s="20">
        <v>9.9820000000000009E-4</v>
      </c>
      <c r="CQ33" s="31"/>
      <c r="CR33" s="20"/>
      <c r="CS33" s="20"/>
      <c r="CT33" s="20"/>
      <c r="CU33" s="31">
        <v>9.9820000000000009E-4</v>
      </c>
      <c r="CV33" s="20">
        <v>9.9820000000000009E-4</v>
      </c>
      <c r="CW33" s="20">
        <v>9.9820000000000009E-4</v>
      </c>
      <c r="CX33" s="20">
        <v>9.9820000000000009E-4</v>
      </c>
      <c r="CY33" s="31">
        <v>9.9820000000000009E-4</v>
      </c>
      <c r="CZ33" s="20">
        <v>9.9820000000000009E-4</v>
      </c>
      <c r="DA33" s="20">
        <v>9.9820000000000009E-4</v>
      </c>
      <c r="DB33" s="20">
        <v>9.9820000000000009E-4</v>
      </c>
      <c r="DG33" s="31">
        <v>9.9820000000000009E-4</v>
      </c>
      <c r="DH33" s="20">
        <v>9.9820000000000009E-4</v>
      </c>
      <c r="DI33" s="20">
        <v>9.9820000000000009E-4</v>
      </c>
      <c r="DJ33" s="20">
        <v>9.9820000000000009E-4</v>
      </c>
      <c r="DM33" s="20"/>
      <c r="DN33" s="20"/>
      <c r="DO33" s="31"/>
      <c r="DP33" s="20"/>
      <c r="DQ33" s="20"/>
      <c r="DR33" s="20"/>
      <c r="DS33" s="31"/>
      <c r="DT33" s="20"/>
      <c r="DU33" s="20"/>
      <c r="DV33" s="20"/>
      <c r="DW33" s="16">
        <f>SUM(G33:CN33)</f>
        <v>5.9892000000000009E-3</v>
      </c>
      <c r="DX33" s="17" t="str">
        <f t="shared" si="1"/>
        <v>확인</v>
      </c>
      <c r="DY33" s="17" t="s">
        <v>48</v>
      </c>
    </row>
    <row r="34" spans="1:129" s="26" customFormat="1" ht="21.95" customHeight="1">
      <c r="A34" s="33" t="s">
        <v>36</v>
      </c>
      <c r="B34" s="33" t="s">
        <v>111</v>
      </c>
      <c r="C34" s="34">
        <v>10208700000</v>
      </c>
      <c r="D34" s="35">
        <v>2.2686000000000001E-2</v>
      </c>
      <c r="E34" s="33"/>
      <c r="F34" s="33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G34" s="29"/>
      <c r="BH34" s="29"/>
      <c r="BI34" s="29"/>
      <c r="BJ34" s="29"/>
      <c r="BK34" s="29"/>
      <c r="BL34" s="29"/>
      <c r="BM34" s="29"/>
      <c r="BN34" s="29"/>
      <c r="BS34" s="31">
        <v>9.9820000000000009E-4</v>
      </c>
      <c r="BT34" s="31">
        <v>9.9820000000000009E-4</v>
      </c>
      <c r="BU34" s="31">
        <v>9.9820000000000009E-4</v>
      </c>
      <c r="BV34" s="31">
        <v>9.9820000000000009E-4</v>
      </c>
      <c r="BW34" s="31">
        <v>9.9820000000000009E-4</v>
      </c>
      <c r="BX34" s="31">
        <v>9.9820000000000009E-4</v>
      </c>
      <c r="BY34" s="31">
        <v>9.9820000000000009E-4</v>
      </c>
      <c r="BZ34" s="31">
        <v>9.9820000000000009E-4</v>
      </c>
      <c r="CA34" s="31">
        <v>9.9820000000000009E-4</v>
      </c>
      <c r="CB34" s="31">
        <v>9.9820000000000009E-4</v>
      </c>
      <c r="CC34" s="31">
        <v>9.9820000000000009E-4</v>
      </c>
      <c r="CD34" s="31">
        <v>9.9820000000000009E-4</v>
      </c>
      <c r="CE34" s="31">
        <v>9.9820000000000009E-4</v>
      </c>
      <c r="CF34" s="31">
        <v>9.9820000000000009E-4</v>
      </c>
      <c r="CG34" s="31">
        <v>9.9820000000000009E-4</v>
      </c>
      <c r="CH34" s="31">
        <v>9.9820000000000009E-4</v>
      </c>
      <c r="CI34" s="31">
        <v>9.9820000000000009E-4</v>
      </c>
      <c r="CJ34" s="31">
        <v>9.9820000000000009E-4</v>
      </c>
      <c r="CK34" s="31">
        <v>9.9820000000000009E-4</v>
      </c>
      <c r="CL34" s="31">
        <v>9.9820000000000009E-4</v>
      </c>
      <c r="CM34" s="31">
        <v>9.9820000000000009E-4</v>
      </c>
      <c r="CN34" s="31">
        <v>9.9820000000000009E-4</v>
      </c>
      <c r="CO34" s="31">
        <v>9.9820000000000009E-4</v>
      </c>
      <c r="CP34" s="31">
        <v>9.9820000000000009E-4</v>
      </c>
      <c r="CQ34" s="31"/>
      <c r="CR34" s="31"/>
      <c r="CS34" s="31"/>
      <c r="CT34" s="31"/>
      <c r="CU34" s="31"/>
      <c r="CV34" s="31"/>
      <c r="CW34" s="31"/>
      <c r="CX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6">
        <f>SUM(G34:CR34)</f>
        <v>2.3956800000000007E-2</v>
      </c>
      <c r="DX34" s="37" t="str">
        <f t="shared" si="1"/>
        <v>확인</v>
      </c>
      <c r="DY34" s="37" t="s">
        <v>48</v>
      </c>
    </row>
    <row r="35" spans="1:129" s="26" customFormat="1" ht="21.95" customHeight="1">
      <c r="A35" s="33" t="s">
        <v>36</v>
      </c>
      <c r="B35" s="33" t="s">
        <v>112</v>
      </c>
      <c r="C35" s="34">
        <v>10208700000</v>
      </c>
      <c r="D35" s="35">
        <v>2.2686000000000001E-2</v>
      </c>
      <c r="E35" s="33"/>
      <c r="F35" s="33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31">
        <v>9.9820000000000009E-4</v>
      </c>
      <c r="CV35" s="31">
        <v>9.9820000000000009E-4</v>
      </c>
      <c r="CW35" s="31">
        <v>9.9820000000000009E-4</v>
      </c>
      <c r="CX35" s="31">
        <v>9.9820000000000009E-4</v>
      </c>
      <c r="CY35" s="31">
        <v>9.9820000000000009E-4</v>
      </c>
      <c r="CZ35" s="31">
        <v>9.9820000000000009E-4</v>
      </c>
      <c r="DA35" s="31">
        <v>9.9820000000000009E-4</v>
      </c>
      <c r="DB35" s="31">
        <v>9.9820000000000009E-4</v>
      </c>
      <c r="DC35" s="31">
        <v>9.9820000000000009E-4</v>
      </c>
      <c r="DD35" s="31">
        <v>9.9820000000000009E-4</v>
      </c>
      <c r="DE35" s="31">
        <v>9.9820000000000009E-4</v>
      </c>
      <c r="DF35" s="31">
        <v>9.9820000000000009E-4</v>
      </c>
      <c r="DG35" s="31">
        <v>9.9820000000000009E-4</v>
      </c>
      <c r="DH35" s="31">
        <v>9.9820000000000009E-4</v>
      </c>
      <c r="DI35" s="31">
        <v>9.9820000000000009E-4</v>
      </c>
      <c r="DJ35" s="31">
        <v>9.9820000000000009E-4</v>
      </c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36">
        <f>SUM(G35:CX35)</f>
        <v>3.9928000000000003E-3</v>
      </c>
      <c r="DX35" s="37" t="str">
        <f t="shared" si="1"/>
        <v>확인</v>
      </c>
      <c r="DY35" s="37" t="s">
        <v>48</v>
      </c>
    </row>
    <row r="36" spans="1:129" s="26" customFormat="1" ht="21.95" customHeight="1">
      <c r="A36" s="33" t="s">
        <v>36</v>
      </c>
      <c r="B36" s="33" t="s">
        <v>124</v>
      </c>
      <c r="C36" s="34">
        <v>14292000000</v>
      </c>
      <c r="D36" s="35">
        <v>3.1759999999999997E-2</v>
      </c>
      <c r="E36" s="33" t="s">
        <v>82</v>
      </c>
      <c r="F36" s="33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DG36" s="31"/>
      <c r="DH36" s="31"/>
      <c r="DI36" s="31"/>
      <c r="DJ36" s="31"/>
      <c r="DK36" s="31">
        <v>9.9820000000000009E-4</v>
      </c>
      <c r="DL36" s="31">
        <v>9.9820000000000009E-4</v>
      </c>
      <c r="DM36" s="31">
        <v>9.9820000000000009E-4</v>
      </c>
      <c r="DN36" s="31">
        <v>9.9820000000000009E-4</v>
      </c>
      <c r="DO36" s="31">
        <v>9.9820000000000009E-4</v>
      </c>
      <c r="DP36" s="31">
        <v>9.9820000000000009E-4</v>
      </c>
      <c r="DQ36" s="31">
        <v>9.9820000000000009E-4</v>
      </c>
      <c r="DR36" s="31">
        <v>9.9820000000000009E-4</v>
      </c>
      <c r="DS36" s="31">
        <v>9.9820000000000009E-4</v>
      </c>
      <c r="DT36" s="31">
        <v>9.9820000000000009E-4</v>
      </c>
      <c r="DU36" s="31">
        <v>9.9820000000000009E-4</v>
      </c>
      <c r="DV36" s="31">
        <v>9.9820000000000009E-4</v>
      </c>
      <c r="DW36" s="36">
        <f>SUM(G36:CX36)</f>
        <v>0</v>
      </c>
      <c r="DX36" s="37" t="str">
        <f t="shared" si="1"/>
        <v>확인</v>
      </c>
      <c r="DY36" s="37" t="s">
        <v>49</v>
      </c>
    </row>
    <row r="37" spans="1:129" s="26" customFormat="1" ht="21.95" customHeight="1">
      <c r="A37" s="33" t="s">
        <v>36</v>
      </c>
      <c r="B37" s="33" t="s">
        <v>216</v>
      </c>
      <c r="C37" s="34">
        <v>7350300000</v>
      </c>
      <c r="D37" s="35">
        <v>1.6334000000000001E-2</v>
      </c>
      <c r="E37" s="33"/>
      <c r="F37" s="33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31"/>
      <c r="AY37" s="31"/>
      <c r="AZ37" s="31"/>
      <c r="BA37" s="31"/>
      <c r="BB37" s="31"/>
      <c r="BG37" s="31"/>
      <c r="BH37" s="31"/>
      <c r="BI37" s="31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31">
        <v>9.9820000000000009E-4</v>
      </c>
      <c r="CB37" s="31">
        <v>9.9820000000000009E-4</v>
      </c>
      <c r="CC37" s="31">
        <v>9.9820000000000009E-4</v>
      </c>
      <c r="CD37" s="31">
        <v>9.9820000000000009E-4</v>
      </c>
      <c r="CE37" s="31">
        <v>9.9820000000000009E-4</v>
      </c>
      <c r="CF37" s="31">
        <v>9.9820000000000009E-4</v>
      </c>
      <c r="CG37" s="31">
        <v>9.9820000000000009E-4</v>
      </c>
      <c r="CH37" s="31">
        <v>9.9820000000000009E-4</v>
      </c>
      <c r="CI37" s="31">
        <v>9.9820000000000009E-4</v>
      </c>
      <c r="CJ37" s="31">
        <v>9.9820000000000009E-4</v>
      </c>
      <c r="CK37" s="31">
        <v>9.9820000000000009E-4</v>
      </c>
      <c r="CL37" s="31">
        <v>9.9820000000000009E-4</v>
      </c>
      <c r="CM37" s="31">
        <v>9.9820000000000009E-4</v>
      </c>
      <c r="CN37" s="31">
        <v>9.9820000000000009E-4</v>
      </c>
      <c r="CO37" s="31">
        <v>9.9820000000000009E-4</v>
      </c>
      <c r="CP37" s="31">
        <v>9.9820000000000009E-4</v>
      </c>
      <c r="CQ37" s="31">
        <v>9.9820000000000009E-4</v>
      </c>
      <c r="CR37" s="31">
        <v>9.9820000000000009E-4</v>
      </c>
      <c r="CS37" s="31">
        <v>9.9820000000000009E-4</v>
      </c>
      <c r="CT37" s="31">
        <v>9.9820000000000009E-4</v>
      </c>
      <c r="CU37" s="31">
        <v>9.9820000000000009E-4</v>
      </c>
      <c r="CV37" s="31">
        <v>9.9820000000000009E-4</v>
      </c>
      <c r="CW37" s="31">
        <v>9.9820000000000009E-4</v>
      </c>
      <c r="CX37" s="31">
        <v>9.9820000000000009E-4</v>
      </c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36">
        <f>SUM(G37:CX37)</f>
        <v>2.3956800000000007E-2</v>
      </c>
      <c r="DX37" s="37" t="str">
        <f t="shared" si="1"/>
        <v>확인</v>
      </c>
      <c r="DY37" s="37" t="s">
        <v>48</v>
      </c>
    </row>
    <row r="38" spans="1:129" ht="21.95" customHeight="1">
      <c r="A38" s="14" t="s">
        <v>217</v>
      </c>
      <c r="B38" s="14" t="s">
        <v>220</v>
      </c>
      <c r="C38" s="22">
        <v>16334100000</v>
      </c>
      <c r="D38" s="23">
        <v>3.6297999999999997E-2</v>
      </c>
      <c r="E38" s="14"/>
      <c r="F38" s="14"/>
      <c r="G38" s="29"/>
      <c r="H38" s="15"/>
      <c r="I38" s="15"/>
      <c r="J38" s="15"/>
      <c r="K38" s="29"/>
      <c r="L38" s="15"/>
      <c r="M38" s="15"/>
      <c r="N38" s="15"/>
      <c r="O38" s="29"/>
      <c r="P38" s="15"/>
      <c r="Q38" s="15"/>
      <c r="R38" s="15"/>
      <c r="S38" s="29"/>
      <c r="T38" s="15"/>
      <c r="U38" s="15"/>
      <c r="V38" s="15"/>
      <c r="W38" s="29"/>
      <c r="X38" s="15"/>
      <c r="Y38" s="15"/>
      <c r="Z38" s="15"/>
      <c r="AA38" s="29"/>
      <c r="AB38" s="15"/>
      <c r="AC38" s="15"/>
      <c r="AD38" s="15"/>
      <c r="AE38" s="29"/>
      <c r="AF38" s="15"/>
      <c r="AG38" s="15"/>
      <c r="AH38" s="15"/>
      <c r="AI38" s="29"/>
      <c r="AY38" s="31">
        <v>9.9820000000000009E-4</v>
      </c>
      <c r="AZ38" s="20">
        <v>9.9820000000000009E-4</v>
      </c>
      <c r="BA38" s="20">
        <v>9.9820000000000009E-4</v>
      </c>
      <c r="BB38" s="20">
        <v>9.9820000000000009E-4</v>
      </c>
      <c r="BC38" s="31">
        <v>9.9820000000000009E-4</v>
      </c>
      <c r="BD38" s="20">
        <v>9.9820000000000009E-4</v>
      </c>
      <c r="BE38" s="20">
        <v>9.9820000000000009E-4</v>
      </c>
      <c r="BF38" s="20">
        <v>9.9820000000000009E-4</v>
      </c>
      <c r="BG38" s="31">
        <v>9.9820000000000009E-4</v>
      </c>
      <c r="BH38" s="20">
        <v>9.9820000000000009E-4</v>
      </c>
      <c r="BI38" s="20">
        <v>9.9820000000000009E-4</v>
      </c>
      <c r="BJ38" s="20">
        <v>9.9820000000000009E-4</v>
      </c>
      <c r="BK38" s="31">
        <v>9.9820000000000009E-4</v>
      </c>
      <c r="BL38" s="20">
        <v>9.9820000000000009E-4</v>
      </c>
      <c r="BM38" s="20">
        <v>9.9820000000000009E-4</v>
      </c>
      <c r="BN38" s="20">
        <v>9.9820000000000009E-4</v>
      </c>
      <c r="BO38" s="31">
        <v>9.9820000000000009E-4</v>
      </c>
      <c r="BP38" s="20">
        <v>9.9820000000000009E-4</v>
      </c>
      <c r="BQ38" s="20">
        <v>9.9820000000000009E-4</v>
      </c>
      <c r="BR38" s="20">
        <v>9.9820000000000009E-4</v>
      </c>
      <c r="BS38" s="31">
        <v>9.9820000000000009E-4</v>
      </c>
      <c r="BT38" s="20">
        <v>9.9820000000000009E-4</v>
      </c>
      <c r="BU38" s="15"/>
      <c r="BV38" s="15"/>
      <c r="BW38" s="29"/>
      <c r="BX38" s="15"/>
      <c r="BY38" s="15"/>
      <c r="BZ38" s="15"/>
      <c r="CA38" s="29"/>
      <c r="CB38" s="15"/>
      <c r="CC38" s="20"/>
      <c r="CD38" s="20"/>
      <c r="CE38" s="31"/>
      <c r="CF38" s="20"/>
      <c r="CG38" s="20"/>
      <c r="CH38" s="20"/>
      <c r="CI38" s="31"/>
      <c r="CJ38" s="20"/>
      <c r="CK38" s="20"/>
      <c r="CL38" s="20"/>
      <c r="CM38" s="31"/>
      <c r="CN38" s="20"/>
      <c r="CO38" s="20"/>
      <c r="CP38" s="20"/>
      <c r="CQ38" s="31"/>
      <c r="CR38" s="20"/>
      <c r="CS38" s="20"/>
      <c r="CT38" s="20"/>
      <c r="CU38" s="31"/>
      <c r="CV38" s="20"/>
      <c r="CW38" s="20"/>
      <c r="CX38" s="20"/>
      <c r="CY38" s="31"/>
      <c r="CZ38" s="20"/>
      <c r="DA38" s="20"/>
      <c r="DB38" s="20"/>
      <c r="DC38" s="31"/>
      <c r="DD38" s="20"/>
      <c r="DE38" s="20"/>
      <c r="DF38" s="20"/>
      <c r="DG38" s="29"/>
      <c r="DH38" s="15"/>
      <c r="DI38" s="15"/>
      <c r="DJ38" s="15"/>
      <c r="DK38" s="29"/>
      <c r="DL38" s="15"/>
      <c r="DM38" s="15"/>
      <c r="DN38" s="15"/>
      <c r="DO38" s="29"/>
      <c r="DP38" s="15"/>
      <c r="DQ38" s="15"/>
      <c r="DR38" s="15"/>
      <c r="DS38" s="29"/>
      <c r="DT38" s="15"/>
      <c r="DU38" s="15"/>
      <c r="DV38" s="15"/>
      <c r="DW38" s="16">
        <f t="shared" ref="DW38:DW44" si="3">SUM(G38:CT38)</f>
        <v>2.1960400000000005E-2</v>
      </c>
      <c r="DX38" s="17" t="str">
        <f t="shared" si="1"/>
        <v>확인</v>
      </c>
      <c r="DY38" s="17" t="s">
        <v>41</v>
      </c>
    </row>
    <row r="39" spans="1:129" ht="21.95" customHeight="1">
      <c r="A39" s="14" t="s">
        <v>50</v>
      </c>
      <c r="B39" s="14" t="s">
        <v>224</v>
      </c>
      <c r="C39" s="22">
        <v>13067100000</v>
      </c>
      <c r="D39" s="23">
        <v>2.9038000000000001E-2</v>
      </c>
      <c r="E39" s="14"/>
      <c r="F39" s="14"/>
      <c r="G39" s="29"/>
      <c r="H39" s="15"/>
      <c r="I39" s="15"/>
      <c r="J39" s="15"/>
      <c r="K39" s="29"/>
      <c r="L39" s="15"/>
      <c r="M39" s="15"/>
      <c r="N39" s="15"/>
      <c r="O39" s="29"/>
      <c r="P39" s="15"/>
      <c r="Q39" s="15"/>
      <c r="R39" s="15"/>
      <c r="S39" s="29"/>
      <c r="T39" s="15"/>
      <c r="U39" s="15"/>
      <c r="V39" s="15"/>
      <c r="W39" s="29"/>
      <c r="X39" s="15"/>
      <c r="Y39" s="15"/>
      <c r="Z39" s="15"/>
      <c r="AA39" s="29"/>
      <c r="AB39" s="15"/>
      <c r="AC39" s="15"/>
      <c r="AD39" s="15"/>
      <c r="AE39" s="29"/>
      <c r="AF39" s="15"/>
      <c r="AG39" s="15"/>
      <c r="AH39" s="15"/>
      <c r="AI39" s="29"/>
      <c r="AY39" s="31">
        <v>9.9820000000000009E-4</v>
      </c>
      <c r="AZ39" s="20">
        <v>9.9820000000000009E-4</v>
      </c>
      <c r="BA39" s="20">
        <v>9.9820000000000009E-4</v>
      </c>
      <c r="BB39" s="20">
        <v>9.9820000000000009E-4</v>
      </c>
      <c r="BC39" s="31">
        <v>9.9820000000000009E-4</v>
      </c>
      <c r="BD39" s="20">
        <v>9.9820000000000009E-4</v>
      </c>
      <c r="BE39" s="20">
        <v>9.9820000000000009E-4</v>
      </c>
      <c r="BF39" s="20">
        <v>9.9820000000000009E-4</v>
      </c>
      <c r="BG39" s="31">
        <v>9.9820000000000009E-4</v>
      </c>
      <c r="BH39" s="20">
        <v>9.9820000000000009E-4</v>
      </c>
      <c r="BI39" s="20">
        <v>9.9820000000000009E-4</v>
      </c>
      <c r="BJ39" s="20">
        <v>9.9820000000000009E-4</v>
      </c>
      <c r="BK39" s="31">
        <v>9.9820000000000009E-4</v>
      </c>
      <c r="BL39" s="20">
        <v>9.9820000000000009E-4</v>
      </c>
      <c r="BM39" s="20">
        <v>9.9820000000000009E-4</v>
      </c>
      <c r="BN39" s="20">
        <v>9.9820000000000009E-4</v>
      </c>
      <c r="BO39" s="31">
        <v>9.9820000000000009E-4</v>
      </c>
      <c r="BP39" s="20">
        <v>9.9820000000000009E-4</v>
      </c>
      <c r="BQ39" s="20">
        <v>9.9820000000000009E-4</v>
      </c>
      <c r="BR39" s="20">
        <v>9.9820000000000009E-4</v>
      </c>
      <c r="BS39" s="31">
        <v>9.9820000000000009E-4</v>
      </c>
      <c r="BT39" s="20">
        <v>9.9820000000000009E-4</v>
      </c>
      <c r="BU39" s="15"/>
      <c r="BV39" s="15"/>
      <c r="BW39" s="29"/>
      <c r="BX39" s="15"/>
      <c r="BY39" s="15"/>
      <c r="BZ39" s="15"/>
      <c r="CA39" s="29"/>
      <c r="CB39" s="15"/>
      <c r="CC39" s="20"/>
      <c r="CD39" s="20"/>
      <c r="CE39" s="31"/>
      <c r="CF39" s="20"/>
      <c r="CG39" s="20"/>
      <c r="CH39" s="20"/>
      <c r="CI39" s="31"/>
      <c r="CJ39" s="20"/>
      <c r="CK39" s="20"/>
      <c r="CL39" s="20"/>
      <c r="CM39" s="31"/>
      <c r="CN39" s="20"/>
      <c r="CO39" s="20"/>
      <c r="CP39" s="20"/>
      <c r="CQ39" s="31"/>
      <c r="CR39" s="20"/>
      <c r="CS39" s="20"/>
      <c r="CT39" s="20"/>
      <c r="CU39" s="31"/>
      <c r="CV39" s="20"/>
      <c r="CW39" s="20"/>
      <c r="CX39" s="20"/>
      <c r="CY39" s="31"/>
      <c r="CZ39" s="20"/>
      <c r="DA39" s="20"/>
      <c r="DB39" s="20"/>
      <c r="DC39" s="31"/>
      <c r="DD39" s="20"/>
      <c r="DE39" s="20"/>
      <c r="DF39" s="20"/>
      <c r="DG39" s="29"/>
      <c r="DH39" s="15"/>
      <c r="DI39" s="15"/>
      <c r="DJ39" s="15"/>
      <c r="DK39" s="29"/>
      <c r="DL39" s="15"/>
      <c r="DM39" s="15"/>
      <c r="DN39" s="15"/>
      <c r="DO39" s="29"/>
      <c r="DP39" s="15"/>
      <c r="DQ39" s="15"/>
      <c r="DR39" s="15"/>
      <c r="DS39" s="29"/>
      <c r="DT39" s="15"/>
      <c r="DU39" s="15"/>
      <c r="DV39" s="15"/>
      <c r="DW39" s="16">
        <f t="shared" si="3"/>
        <v>2.1960400000000005E-2</v>
      </c>
      <c r="DX39" s="17" t="str">
        <f t="shared" si="1"/>
        <v>확인</v>
      </c>
      <c r="DY39" s="17" t="s">
        <v>42</v>
      </c>
    </row>
    <row r="40" spans="1:129" ht="21.95" customHeight="1">
      <c r="A40" s="14" t="s">
        <v>50</v>
      </c>
      <c r="B40" s="14" t="s">
        <v>223</v>
      </c>
      <c r="C40" s="22">
        <v>8167050000</v>
      </c>
      <c r="D40" s="23">
        <v>1.8148999999999998E-2</v>
      </c>
      <c r="E40" s="14"/>
      <c r="F40" s="14"/>
      <c r="G40" s="29"/>
      <c r="H40" s="15"/>
      <c r="I40" s="15"/>
      <c r="J40" s="15"/>
      <c r="K40" s="29"/>
      <c r="L40" s="15"/>
      <c r="M40" s="15"/>
      <c r="N40" s="15"/>
      <c r="O40" s="29"/>
      <c r="P40" s="15"/>
      <c r="Q40" s="15"/>
      <c r="R40" s="15"/>
      <c r="S40" s="29"/>
      <c r="T40" s="15"/>
      <c r="U40" s="15"/>
      <c r="V40" s="15"/>
      <c r="W40" s="29"/>
      <c r="X40" s="15"/>
      <c r="Y40" s="15"/>
      <c r="Z40" s="15"/>
      <c r="AA40" s="29"/>
      <c r="AB40" s="15"/>
      <c r="AC40" s="15"/>
      <c r="AD40" s="15"/>
      <c r="AE40" s="29"/>
      <c r="AF40" s="15"/>
      <c r="AG40" s="15"/>
      <c r="AH40" s="15"/>
      <c r="AI40" s="29"/>
      <c r="AY40" s="29"/>
      <c r="AZ40" s="15"/>
      <c r="BA40" s="15"/>
      <c r="BB40" s="15"/>
      <c r="BC40" s="31">
        <v>9.9820000000000009E-4</v>
      </c>
      <c r="BD40" s="20">
        <v>9.9820000000000009E-4</v>
      </c>
      <c r="BE40" s="20">
        <v>9.9820000000000009E-4</v>
      </c>
      <c r="BF40" s="20">
        <v>9.9820000000000009E-4</v>
      </c>
      <c r="BG40" s="31">
        <v>9.9820000000000009E-4</v>
      </c>
      <c r="BH40" s="20">
        <v>9.9820000000000009E-4</v>
      </c>
      <c r="BI40" s="20">
        <v>9.9820000000000009E-4</v>
      </c>
      <c r="BJ40" s="20">
        <v>9.9820000000000009E-4</v>
      </c>
      <c r="BK40" s="31">
        <v>9.9820000000000009E-4</v>
      </c>
      <c r="BL40" s="20">
        <v>9.9820000000000009E-4</v>
      </c>
      <c r="BM40" s="20">
        <v>9.9820000000000009E-4</v>
      </c>
      <c r="BN40" s="20">
        <v>9.9820000000000009E-4</v>
      </c>
      <c r="BO40" s="31">
        <v>9.9820000000000009E-4</v>
      </c>
      <c r="BP40" s="20">
        <v>9.9820000000000009E-4</v>
      </c>
      <c r="BQ40" s="20">
        <v>9.9820000000000009E-4</v>
      </c>
      <c r="BR40" s="20">
        <v>9.9820000000000009E-4</v>
      </c>
      <c r="BS40" s="31">
        <v>9.9820000000000009E-4</v>
      </c>
      <c r="BT40" s="20">
        <v>9.9820000000000009E-4</v>
      </c>
      <c r="BU40" s="20">
        <v>9.9820000000000009E-4</v>
      </c>
      <c r="BV40" s="20">
        <v>9.9820000000000009E-4</v>
      </c>
      <c r="BW40" s="31">
        <v>9.9820000000000009E-4</v>
      </c>
      <c r="BX40" s="20">
        <v>9.9820000000000009E-4</v>
      </c>
      <c r="BY40" s="15"/>
      <c r="BZ40" s="15"/>
      <c r="CA40" s="29"/>
      <c r="CB40" s="15"/>
      <c r="CC40" s="15"/>
      <c r="CD40" s="15"/>
      <c r="CE40" s="29"/>
      <c r="CF40" s="15"/>
      <c r="CG40" s="15"/>
      <c r="CH40" s="15"/>
      <c r="CI40" s="29"/>
      <c r="CJ40" s="15"/>
      <c r="CK40" s="15"/>
      <c r="CL40" s="15"/>
      <c r="CM40" s="29"/>
      <c r="CN40" s="15"/>
      <c r="CO40" s="15"/>
      <c r="CP40" s="15"/>
      <c r="CQ40" s="29"/>
      <c r="CR40" s="15"/>
      <c r="CS40" s="15"/>
      <c r="CT40" s="15"/>
      <c r="CU40" s="29"/>
      <c r="CV40" s="15"/>
      <c r="CW40" s="15"/>
      <c r="CX40" s="15"/>
      <c r="CY40" s="29"/>
      <c r="CZ40" s="15"/>
      <c r="DA40" s="15"/>
      <c r="DB40" s="15"/>
      <c r="DC40" s="29"/>
      <c r="DD40" s="15"/>
      <c r="DE40" s="15"/>
      <c r="DF40" s="15"/>
      <c r="DG40" s="29"/>
      <c r="DH40" s="15"/>
      <c r="DI40" s="15"/>
      <c r="DJ40" s="15"/>
      <c r="DK40" s="29"/>
      <c r="DL40" s="15"/>
      <c r="DM40" s="15"/>
      <c r="DN40" s="15"/>
      <c r="DO40" s="29"/>
      <c r="DP40" s="15"/>
      <c r="DQ40" s="15"/>
      <c r="DR40" s="15"/>
      <c r="DS40" s="29"/>
      <c r="DT40" s="15"/>
      <c r="DU40" s="15"/>
      <c r="DV40" s="15"/>
      <c r="DW40" s="16">
        <f t="shared" si="3"/>
        <v>2.1960400000000005E-2</v>
      </c>
      <c r="DX40" s="17" t="str">
        <f t="shared" si="1"/>
        <v>확인</v>
      </c>
      <c r="DY40" s="17" t="s">
        <v>42</v>
      </c>
    </row>
    <row r="41" spans="1:129" ht="21.95" customHeight="1">
      <c r="A41" s="14" t="s">
        <v>50</v>
      </c>
      <c r="B41" s="14" t="s">
        <v>222</v>
      </c>
      <c r="C41" s="22">
        <v>7350300000</v>
      </c>
      <c r="D41" s="23">
        <v>1.6334000000000001E-2</v>
      </c>
      <c r="E41" s="14"/>
      <c r="F41" s="14"/>
      <c r="G41" s="29"/>
      <c r="H41" s="15"/>
      <c r="I41" s="15"/>
      <c r="J41" s="15"/>
      <c r="K41" s="29"/>
      <c r="L41" s="15"/>
      <c r="M41" s="15"/>
      <c r="N41" s="15"/>
      <c r="O41" s="29"/>
      <c r="P41" s="15"/>
      <c r="Q41" s="15"/>
      <c r="R41" s="15"/>
      <c r="S41" s="29"/>
      <c r="T41" s="15"/>
      <c r="U41" s="15"/>
      <c r="V41" s="15"/>
      <c r="W41" s="29"/>
      <c r="X41" s="15"/>
      <c r="Y41" s="15"/>
      <c r="Z41" s="15"/>
      <c r="AA41" s="29"/>
      <c r="AB41" s="15"/>
      <c r="AC41" s="15"/>
      <c r="AD41" s="15"/>
      <c r="AE41" s="29"/>
      <c r="AF41" s="15"/>
      <c r="AG41" s="15"/>
      <c r="AH41" s="15"/>
      <c r="AI41" s="29"/>
      <c r="AY41" s="29"/>
      <c r="AZ41" s="15"/>
      <c r="BA41" s="15"/>
      <c r="BB41" s="15"/>
      <c r="BC41" s="29"/>
      <c r="BD41" s="15"/>
      <c r="BE41" s="15"/>
      <c r="BF41" s="15"/>
      <c r="BG41" s="31">
        <v>9.9820000000000009E-4</v>
      </c>
      <c r="BH41" s="20">
        <v>9.9820000000000009E-4</v>
      </c>
      <c r="BI41" s="20">
        <v>9.9820000000000009E-4</v>
      </c>
      <c r="BJ41" s="20">
        <v>9.9820000000000009E-4</v>
      </c>
      <c r="BK41" s="31">
        <v>9.9820000000000009E-4</v>
      </c>
      <c r="BL41" s="20">
        <v>9.9820000000000009E-4</v>
      </c>
      <c r="BM41" s="20">
        <v>9.9820000000000009E-4</v>
      </c>
      <c r="BN41" s="20">
        <v>9.9820000000000009E-4</v>
      </c>
      <c r="BO41" s="31">
        <v>9.9820000000000009E-4</v>
      </c>
      <c r="BP41" s="20">
        <v>9.9820000000000009E-4</v>
      </c>
      <c r="BQ41" s="20">
        <v>9.9820000000000009E-4</v>
      </c>
      <c r="BR41" s="20">
        <v>9.9820000000000009E-4</v>
      </c>
      <c r="BS41" s="31">
        <v>9.9820000000000009E-4</v>
      </c>
      <c r="BT41" s="20">
        <v>9.9820000000000009E-4</v>
      </c>
      <c r="BU41" s="20">
        <v>9.9820000000000009E-4</v>
      </c>
      <c r="BV41" s="20">
        <v>9.9820000000000009E-4</v>
      </c>
      <c r="BW41" s="31">
        <v>9.9820000000000009E-4</v>
      </c>
      <c r="BX41" s="20">
        <v>9.9820000000000009E-4</v>
      </c>
      <c r="BY41" s="20">
        <v>9.9820000000000009E-4</v>
      </c>
      <c r="BZ41" s="20">
        <v>9.9820000000000009E-4</v>
      </c>
      <c r="CA41" s="31">
        <v>9.9820000000000009E-4</v>
      </c>
      <c r="CB41" s="20">
        <v>9.9820000000000009E-4</v>
      </c>
      <c r="CC41" s="15"/>
      <c r="CD41" s="15"/>
      <c r="CE41" s="29"/>
      <c r="CF41" s="15"/>
      <c r="CG41" s="15"/>
      <c r="CH41" s="15"/>
      <c r="CI41" s="29"/>
      <c r="CJ41" s="15"/>
      <c r="CK41" s="15"/>
      <c r="CL41" s="15"/>
      <c r="CM41" s="29"/>
      <c r="CN41" s="15"/>
      <c r="CO41" s="15"/>
      <c r="CP41" s="15"/>
      <c r="CQ41" s="29"/>
      <c r="CR41" s="15"/>
      <c r="CS41" s="15"/>
      <c r="CT41" s="15"/>
      <c r="CU41" s="29"/>
      <c r="CV41" s="15"/>
      <c r="CW41" s="15"/>
      <c r="CX41" s="15"/>
      <c r="CY41" s="29"/>
      <c r="CZ41" s="15"/>
      <c r="DA41" s="15"/>
      <c r="DB41" s="15"/>
      <c r="DC41" s="29"/>
      <c r="DD41" s="15"/>
      <c r="DE41" s="15"/>
      <c r="DF41" s="15"/>
      <c r="DG41" s="29"/>
      <c r="DH41" s="15"/>
      <c r="DI41" s="15"/>
      <c r="DJ41" s="15"/>
      <c r="DK41" s="29"/>
      <c r="DL41" s="15"/>
      <c r="DM41" s="15"/>
      <c r="DN41" s="15"/>
      <c r="DO41" s="29"/>
      <c r="DP41" s="15"/>
      <c r="DQ41" s="15"/>
      <c r="DR41" s="15"/>
      <c r="DS41" s="29"/>
      <c r="DT41" s="15"/>
      <c r="DU41" s="15"/>
      <c r="DV41" s="15"/>
      <c r="DW41" s="16">
        <f t="shared" si="3"/>
        <v>2.1960400000000005E-2</v>
      </c>
      <c r="DX41" s="17" t="str">
        <f t="shared" si="1"/>
        <v>확인</v>
      </c>
      <c r="DY41" s="17" t="s">
        <v>31</v>
      </c>
    </row>
    <row r="42" spans="1:129" ht="21.95" customHeight="1">
      <c r="A42" s="14" t="s">
        <v>50</v>
      </c>
      <c r="B42" s="14" t="s">
        <v>221</v>
      </c>
      <c r="C42" s="22">
        <v>4083300000</v>
      </c>
      <c r="D42" s="23">
        <v>9.0740000000000005E-3</v>
      </c>
      <c r="E42" s="14"/>
      <c r="F42" s="14"/>
      <c r="G42" s="29"/>
      <c r="H42" s="15"/>
      <c r="I42" s="15"/>
      <c r="J42" s="15"/>
      <c r="K42" s="29"/>
      <c r="L42" s="15"/>
      <c r="M42" s="15"/>
      <c r="N42" s="15"/>
      <c r="O42" s="29"/>
      <c r="P42" s="15"/>
      <c r="Q42" s="15"/>
      <c r="R42" s="15"/>
      <c r="S42" s="29"/>
      <c r="T42" s="15"/>
      <c r="U42" s="15"/>
      <c r="V42" s="15"/>
      <c r="W42" s="29"/>
      <c r="X42" s="15"/>
      <c r="Y42" s="15"/>
      <c r="Z42" s="15"/>
      <c r="AA42" s="29"/>
      <c r="AB42" s="15"/>
      <c r="AC42" s="15"/>
      <c r="AD42" s="15"/>
      <c r="AE42" s="29"/>
      <c r="AF42" s="15"/>
      <c r="AG42" s="15"/>
      <c r="AH42" s="15"/>
      <c r="AI42" s="29"/>
      <c r="AY42" s="29"/>
      <c r="AZ42" s="15"/>
      <c r="BA42" s="15"/>
      <c r="BB42" s="15"/>
      <c r="BC42" s="29"/>
      <c r="BD42" s="15"/>
      <c r="BE42" s="15"/>
      <c r="BF42" s="15"/>
      <c r="BG42" s="31">
        <v>9.9820000000000009E-4</v>
      </c>
      <c r="BH42" s="20">
        <v>9.9820000000000009E-4</v>
      </c>
      <c r="BI42" s="20">
        <v>9.9820000000000009E-4</v>
      </c>
      <c r="BJ42" s="20">
        <v>9.9820000000000009E-4</v>
      </c>
      <c r="BK42" s="31">
        <v>9.9820000000000009E-4</v>
      </c>
      <c r="BL42" s="20">
        <v>9.9820000000000009E-4</v>
      </c>
      <c r="BM42" s="20">
        <v>9.9820000000000009E-4</v>
      </c>
      <c r="BN42" s="20">
        <v>9.9820000000000009E-4</v>
      </c>
      <c r="BO42" s="31">
        <v>9.9820000000000009E-4</v>
      </c>
      <c r="BP42" s="20">
        <v>9.9820000000000009E-4</v>
      </c>
      <c r="BQ42" s="20">
        <v>9.9820000000000009E-4</v>
      </c>
      <c r="BR42" s="20">
        <v>9.9820000000000009E-4</v>
      </c>
      <c r="BS42" s="31">
        <v>9.9820000000000009E-4</v>
      </c>
      <c r="BT42" s="20">
        <v>9.9820000000000009E-4</v>
      </c>
      <c r="BU42" s="20">
        <v>9.9820000000000009E-4</v>
      </c>
      <c r="BV42" s="20">
        <v>9.9820000000000009E-4</v>
      </c>
      <c r="BW42" s="31">
        <v>9.9820000000000009E-4</v>
      </c>
      <c r="BX42" s="20">
        <v>9.9820000000000009E-4</v>
      </c>
      <c r="BY42" s="20">
        <v>9.9820000000000009E-4</v>
      </c>
      <c r="BZ42" s="20">
        <v>9.9820000000000009E-4</v>
      </c>
      <c r="CA42" s="31">
        <v>9.9820000000000009E-4</v>
      </c>
      <c r="CB42" s="20">
        <v>9.9820000000000009E-4</v>
      </c>
      <c r="CC42" s="15"/>
      <c r="CD42" s="15"/>
      <c r="CE42" s="29"/>
      <c r="CF42" s="15"/>
      <c r="CG42" s="15"/>
      <c r="CH42" s="15"/>
      <c r="CI42" s="29"/>
      <c r="CJ42" s="15"/>
      <c r="CK42" s="15"/>
      <c r="CL42" s="15"/>
      <c r="CM42" s="29"/>
      <c r="CN42" s="15"/>
      <c r="CO42" s="15"/>
      <c r="CP42" s="15"/>
      <c r="CQ42" s="29"/>
      <c r="CR42" s="15"/>
      <c r="CS42" s="15"/>
      <c r="CT42" s="15"/>
      <c r="CU42" s="29"/>
      <c r="CV42" s="15"/>
      <c r="CW42" s="15"/>
      <c r="CX42" s="15"/>
      <c r="CY42" s="29"/>
      <c r="CZ42" s="15"/>
      <c r="DA42" s="15"/>
      <c r="DB42" s="15"/>
      <c r="DC42" s="29"/>
      <c r="DD42" s="15"/>
      <c r="DE42" s="15"/>
      <c r="DF42" s="15"/>
      <c r="DG42" s="29"/>
      <c r="DH42" s="15"/>
      <c r="DI42" s="15"/>
      <c r="DJ42" s="15"/>
      <c r="DK42" s="29"/>
      <c r="DL42" s="15"/>
      <c r="DM42" s="15"/>
      <c r="DN42" s="15"/>
      <c r="DO42" s="29"/>
      <c r="DP42" s="15"/>
      <c r="DQ42" s="15"/>
      <c r="DR42" s="15"/>
      <c r="DS42" s="29"/>
      <c r="DT42" s="15"/>
      <c r="DU42" s="15"/>
      <c r="DV42" s="15"/>
      <c r="DW42" s="16">
        <f t="shared" si="3"/>
        <v>2.1960400000000005E-2</v>
      </c>
      <c r="DX42" s="17" t="str">
        <f t="shared" si="1"/>
        <v>확인</v>
      </c>
      <c r="DY42" s="17" t="s">
        <v>49</v>
      </c>
    </row>
    <row r="43" spans="1:129" ht="21.95" customHeight="1">
      <c r="A43" s="14" t="s">
        <v>218</v>
      </c>
      <c r="B43" s="14" t="s">
        <v>225</v>
      </c>
      <c r="C43" s="22">
        <v>15517350000</v>
      </c>
      <c r="D43" s="23">
        <v>3.4483E-2</v>
      </c>
      <c r="E43" s="14"/>
      <c r="F43" s="14"/>
      <c r="G43" s="29"/>
      <c r="H43" s="15"/>
      <c r="I43" s="15"/>
      <c r="J43" s="15"/>
      <c r="K43" s="29"/>
      <c r="L43" s="15"/>
      <c r="M43" s="15"/>
      <c r="N43" s="15"/>
      <c r="O43" s="29"/>
      <c r="P43" s="15"/>
      <c r="Q43" s="15"/>
      <c r="R43" s="15"/>
      <c r="S43" s="29"/>
      <c r="T43" s="15"/>
      <c r="U43" s="15"/>
      <c r="V43" s="15"/>
      <c r="W43" s="29"/>
      <c r="X43" s="15"/>
      <c r="Y43" s="15"/>
      <c r="Z43" s="15"/>
      <c r="AA43" s="29"/>
      <c r="AB43" s="15"/>
      <c r="AC43" s="15"/>
      <c r="AD43" s="15"/>
      <c r="AE43" s="29"/>
      <c r="AF43" s="15"/>
      <c r="AG43" s="15"/>
      <c r="AH43" s="15"/>
      <c r="AI43" s="29"/>
      <c r="AY43" s="29"/>
      <c r="AZ43" s="15"/>
      <c r="BA43" s="15"/>
      <c r="BB43" s="15"/>
      <c r="BC43" s="29"/>
      <c r="BD43" s="15"/>
      <c r="BE43" s="15"/>
      <c r="BF43" s="15"/>
      <c r="BG43" s="31">
        <v>9.9820000000000009E-4</v>
      </c>
      <c r="BH43" s="20">
        <v>9.9820000000000009E-4</v>
      </c>
      <c r="BI43" s="20">
        <v>9.9820000000000009E-4</v>
      </c>
      <c r="BJ43" s="20">
        <v>9.9820000000000009E-4</v>
      </c>
      <c r="BK43" s="31">
        <v>9.9820000000000009E-4</v>
      </c>
      <c r="BL43" s="20">
        <v>9.9820000000000009E-4</v>
      </c>
      <c r="BM43" s="20">
        <v>9.9820000000000009E-4</v>
      </c>
      <c r="BN43" s="20">
        <v>9.9820000000000009E-4</v>
      </c>
      <c r="BO43" s="31">
        <v>9.9820000000000009E-4</v>
      </c>
      <c r="BP43" s="20">
        <v>9.9820000000000009E-4</v>
      </c>
      <c r="BQ43" s="20">
        <v>9.9820000000000009E-4</v>
      </c>
      <c r="BR43" s="20">
        <v>9.9820000000000009E-4</v>
      </c>
      <c r="BS43" s="31">
        <v>9.9820000000000009E-4</v>
      </c>
      <c r="BT43" s="20">
        <v>9.9820000000000009E-4</v>
      </c>
      <c r="BU43" s="20">
        <v>9.9820000000000009E-4</v>
      </c>
      <c r="BV43" s="20">
        <v>9.9820000000000009E-4</v>
      </c>
      <c r="BW43" s="31">
        <v>9.9820000000000009E-4</v>
      </c>
      <c r="BX43" s="20">
        <v>9.9820000000000009E-4</v>
      </c>
      <c r="BY43" s="20">
        <v>9.9820000000000009E-4</v>
      </c>
      <c r="BZ43" s="20">
        <v>9.9820000000000009E-4</v>
      </c>
      <c r="CA43" s="31">
        <v>9.9820000000000009E-4</v>
      </c>
      <c r="CB43" s="20">
        <v>9.9820000000000009E-4</v>
      </c>
      <c r="CC43" s="15"/>
      <c r="CD43" s="15"/>
      <c r="CE43" s="29"/>
      <c r="CF43" s="15"/>
      <c r="CG43" s="15"/>
      <c r="CH43" s="15"/>
      <c r="CI43" s="29"/>
      <c r="CJ43" s="15"/>
      <c r="CK43" s="15"/>
      <c r="CL43" s="15"/>
      <c r="CM43" s="29"/>
      <c r="CN43" s="15"/>
      <c r="CO43" s="15"/>
      <c r="CP43" s="15"/>
      <c r="CQ43" s="29"/>
      <c r="CR43" s="15"/>
      <c r="CS43" s="15"/>
      <c r="CT43" s="15"/>
      <c r="CU43" s="29"/>
      <c r="CV43" s="15"/>
      <c r="CW43" s="15"/>
      <c r="CX43" s="15"/>
      <c r="CY43" s="29"/>
      <c r="CZ43" s="15"/>
      <c r="DA43" s="15"/>
      <c r="DB43" s="15"/>
      <c r="DC43" s="29"/>
      <c r="DD43" s="15"/>
      <c r="DE43" s="15"/>
      <c r="DF43" s="15"/>
      <c r="DG43" s="29"/>
      <c r="DH43" s="15"/>
      <c r="DI43" s="15"/>
      <c r="DJ43" s="15"/>
      <c r="DK43" s="29"/>
      <c r="DL43" s="15"/>
      <c r="DM43" s="15"/>
      <c r="DN43" s="15"/>
      <c r="DO43" s="29"/>
      <c r="DP43" s="15"/>
      <c r="DQ43" s="15"/>
      <c r="DR43" s="15"/>
      <c r="DS43" s="29"/>
      <c r="DT43" s="15"/>
      <c r="DU43" s="15"/>
      <c r="DV43" s="15"/>
      <c r="DW43" s="16">
        <f t="shared" si="3"/>
        <v>2.1960400000000005E-2</v>
      </c>
      <c r="DX43" s="17" t="str">
        <f t="shared" si="1"/>
        <v>확인</v>
      </c>
      <c r="DY43" s="17" t="s">
        <v>56</v>
      </c>
    </row>
    <row r="44" spans="1:129" ht="21.95" customHeight="1">
      <c r="A44" s="14" t="s">
        <v>44</v>
      </c>
      <c r="B44" s="14" t="s">
        <v>86</v>
      </c>
      <c r="C44" s="22">
        <v>12250350000</v>
      </c>
      <c r="D44" s="23">
        <v>2.7223000000000001E-2</v>
      </c>
      <c r="E44" s="14"/>
      <c r="F44" s="14"/>
      <c r="G44" s="29"/>
      <c r="H44" s="15"/>
      <c r="I44" s="15"/>
      <c r="J44" s="15"/>
      <c r="K44" s="29"/>
      <c r="L44" s="15"/>
      <c r="M44" s="15"/>
      <c r="N44" s="15"/>
      <c r="O44" s="29"/>
      <c r="P44" s="15"/>
      <c r="Q44" s="15"/>
      <c r="R44" s="15"/>
      <c r="S44" s="29"/>
      <c r="T44" s="15"/>
      <c r="U44" s="15"/>
      <c r="V44" s="15"/>
      <c r="W44" s="29"/>
      <c r="X44" s="15"/>
      <c r="Y44" s="15"/>
      <c r="Z44" s="15"/>
      <c r="AA44" s="29"/>
      <c r="AB44" s="15"/>
      <c r="AC44" s="15"/>
      <c r="AD44" s="15"/>
      <c r="AE44" s="29"/>
      <c r="AF44" s="15"/>
      <c r="AG44" s="15"/>
      <c r="AH44" s="15"/>
      <c r="AI44" s="29"/>
      <c r="AJ44" s="15"/>
      <c r="AK44" s="15"/>
      <c r="AL44" s="15"/>
      <c r="AM44" s="29"/>
      <c r="AN44" s="15"/>
      <c r="AO44" s="15"/>
      <c r="AP44" s="15"/>
      <c r="AQ44" s="29"/>
      <c r="AR44" s="15"/>
      <c r="AS44" s="15"/>
      <c r="AT44" s="15"/>
      <c r="AU44" s="29"/>
      <c r="AV44" s="15"/>
      <c r="AW44" s="15"/>
      <c r="AX44" s="15"/>
      <c r="AY44" s="29"/>
      <c r="AZ44" s="15"/>
      <c r="BA44" s="15"/>
      <c r="BB44" s="15"/>
      <c r="BC44" s="29"/>
      <c r="BD44" s="15"/>
      <c r="BE44" s="15"/>
      <c r="BF44" s="15"/>
      <c r="BG44" s="29"/>
      <c r="BH44" s="15"/>
      <c r="BI44" s="15"/>
      <c r="BJ44" s="15"/>
      <c r="BK44" s="31">
        <v>9.9820000000000009E-4</v>
      </c>
      <c r="BL44" s="20">
        <v>9.9820000000000009E-4</v>
      </c>
      <c r="BM44" s="20">
        <v>9.9820000000000009E-4</v>
      </c>
      <c r="BN44" s="20">
        <v>9.9820000000000009E-4</v>
      </c>
      <c r="BO44" s="31">
        <v>9.9820000000000009E-4</v>
      </c>
      <c r="BP44" s="20">
        <v>9.9820000000000009E-4</v>
      </c>
      <c r="BQ44" s="20">
        <v>9.9820000000000009E-4</v>
      </c>
      <c r="BR44" s="20">
        <v>9.9820000000000009E-4</v>
      </c>
      <c r="BS44" s="31">
        <v>9.9820000000000009E-4</v>
      </c>
      <c r="BT44" s="20">
        <v>9.9820000000000009E-4</v>
      </c>
      <c r="BU44" s="20">
        <v>9.9820000000000009E-4</v>
      </c>
      <c r="BV44" s="20">
        <v>9.9820000000000009E-4</v>
      </c>
      <c r="BW44" s="31">
        <v>9.9820000000000009E-4</v>
      </c>
      <c r="BX44" s="20">
        <v>9.9820000000000009E-4</v>
      </c>
      <c r="BY44" s="20">
        <v>9.9820000000000009E-4</v>
      </c>
      <c r="BZ44" s="20">
        <v>9.9820000000000009E-4</v>
      </c>
      <c r="CA44" s="31">
        <v>9.9820000000000009E-4</v>
      </c>
      <c r="CB44" s="20">
        <v>9.9820000000000009E-4</v>
      </c>
      <c r="CC44" s="20">
        <v>9.9820000000000009E-4</v>
      </c>
      <c r="CD44" s="20">
        <v>9.9820000000000009E-4</v>
      </c>
      <c r="CE44" s="31">
        <v>9.9820000000000009E-4</v>
      </c>
      <c r="CF44" s="20">
        <v>9.9820000000000009E-4</v>
      </c>
      <c r="CG44" s="20">
        <v>9.9820000000000009E-4</v>
      </c>
      <c r="CH44" s="20">
        <v>9.9820000000000009E-4</v>
      </c>
      <c r="CI44" s="31">
        <v>9.9820000000000009E-4</v>
      </c>
      <c r="CJ44" s="20">
        <v>9.9820000000000009E-4</v>
      </c>
      <c r="CK44" s="20">
        <v>9.9820000000000009E-4</v>
      </c>
      <c r="CL44" s="20">
        <v>9.9820000000000009E-4</v>
      </c>
      <c r="CM44" s="31">
        <v>9.9820000000000009E-4</v>
      </c>
      <c r="CN44" s="20">
        <v>9.9820000000000009E-4</v>
      </c>
      <c r="CO44" s="20">
        <v>9.9820000000000009E-4</v>
      </c>
      <c r="CP44" s="20">
        <v>9.9820000000000009E-4</v>
      </c>
      <c r="CQ44" s="31">
        <v>9.9820000000000009E-4</v>
      </c>
      <c r="CR44" s="20">
        <v>9.9820000000000009E-4</v>
      </c>
      <c r="CS44" s="20">
        <v>9.9820000000000009E-4</v>
      </c>
      <c r="CT44" s="20">
        <v>9.9820000000000009E-4</v>
      </c>
      <c r="CU44" s="31">
        <v>9.9820000000000009E-4</v>
      </c>
      <c r="CV44" s="20">
        <v>9.9820000000000009E-4</v>
      </c>
      <c r="CW44" s="20">
        <v>9.9820000000000009E-4</v>
      </c>
      <c r="CX44" s="31">
        <v>9.9820000000000009E-4</v>
      </c>
      <c r="CY44" s="29"/>
      <c r="CZ44" s="15"/>
      <c r="DA44" s="15"/>
      <c r="DB44" s="15"/>
      <c r="DC44" s="29"/>
      <c r="DD44" s="15"/>
      <c r="DE44" s="15"/>
      <c r="DF44" s="15"/>
      <c r="DG44" s="29"/>
      <c r="DH44" s="15"/>
      <c r="DI44" s="15"/>
      <c r="DJ44" s="15"/>
      <c r="DK44" s="29"/>
      <c r="DL44" s="15"/>
      <c r="DM44" s="15"/>
      <c r="DN44" s="15"/>
      <c r="DO44" s="29"/>
      <c r="DP44" s="15"/>
      <c r="DQ44" s="15"/>
      <c r="DR44" s="15"/>
      <c r="DS44" s="29"/>
      <c r="DT44" s="15"/>
      <c r="DU44" s="15"/>
      <c r="DV44" s="15"/>
      <c r="DW44" s="16">
        <f t="shared" si="3"/>
        <v>3.5935200000000007E-2</v>
      </c>
      <c r="DX44" s="17" t="str">
        <f t="shared" si="1"/>
        <v>확인</v>
      </c>
      <c r="DY44" s="17" t="s">
        <v>51</v>
      </c>
    </row>
    <row r="45" spans="1:129" ht="21.95" customHeight="1">
      <c r="A45" s="14" t="s">
        <v>44</v>
      </c>
      <c r="B45" s="14" t="s">
        <v>226</v>
      </c>
      <c r="C45" s="22">
        <v>8983800000</v>
      </c>
      <c r="D45" s="23">
        <v>1.9963999999999999E-2</v>
      </c>
      <c r="E45" s="14"/>
      <c r="F45" s="14"/>
      <c r="G45" s="29"/>
      <c r="H45" s="15"/>
      <c r="I45" s="15"/>
      <c r="J45" s="15"/>
      <c r="K45" s="29"/>
      <c r="L45" s="15"/>
      <c r="M45" s="15"/>
      <c r="N45" s="15"/>
      <c r="O45" s="29"/>
      <c r="P45" s="15"/>
      <c r="Q45" s="15"/>
      <c r="R45" s="15"/>
      <c r="S45" s="29"/>
      <c r="T45" s="15"/>
      <c r="U45" s="15"/>
      <c r="V45" s="15"/>
      <c r="W45" s="29"/>
      <c r="X45" s="15"/>
      <c r="Y45" s="15"/>
      <c r="Z45" s="15"/>
      <c r="AA45" s="29"/>
      <c r="AB45" s="15"/>
      <c r="AC45" s="15"/>
      <c r="AD45" s="15"/>
      <c r="AE45" s="29"/>
      <c r="AF45" s="15"/>
      <c r="AG45" s="15"/>
      <c r="AH45" s="15"/>
      <c r="AI45" s="29"/>
      <c r="AJ45" s="15"/>
      <c r="AK45" s="15"/>
      <c r="AL45" s="15"/>
      <c r="AM45" s="29"/>
      <c r="AN45" s="15"/>
      <c r="AO45" s="15"/>
      <c r="AP45" s="15"/>
      <c r="AQ45" s="29"/>
      <c r="AR45" s="15"/>
      <c r="AS45" s="15"/>
      <c r="AT45" s="15"/>
      <c r="AU45" s="29"/>
      <c r="AV45" s="15"/>
      <c r="AW45" s="15"/>
      <c r="AX45" s="15"/>
      <c r="AY45" s="29"/>
      <c r="AZ45" s="15"/>
      <c r="BA45" s="15"/>
      <c r="BB45" s="15"/>
      <c r="BC45" s="29"/>
      <c r="BD45" s="15"/>
      <c r="BE45" s="15"/>
      <c r="BF45" s="15"/>
      <c r="BG45" s="29"/>
      <c r="BH45" s="15"/>
      <c r="BI45" s="15"/>
      <c r="BJ45" s="15"/>
      <c r="BK45" s="29"/>
      <c r="BL45" s="15"/>
      <c r="BM45" s="15"/>
      <c r="BN45" s="15"/>
      <c r="BO45" s="31">
        <v>9.9820000000000009E-4</v>
      </c>
      <c r="BP45" s="20">
        <v>9.9820000000000009E-4</v>
      </c>
      <c r="BQ45" s="20">
        <v>9.9820000000000009E-4</v>
      </c>
      <c r="BR45" s="20">
        <v>9.9820000000000009E-4</v>
      </c>
      <c r="BS45" s="31">
        <v>9.9820000000000009E-4</v>
      </c>
      <c r="BT45" s="20">
        <v>9.9820000000000009E-4</v>
      </c>
      <c r="BU45" s="20">
        <v>9.9820000000000009E-4</v>
      </c>
      <c r="BV45" s="20">
        <v>9.9820000000000009E-4</v>
      </c>
      <c r="BW45" s="31">
        <v>9.9820000000000009E-4</v>
      </c>
      <c r="BX45" s="20">
        <v>9.9820000000000009E-4</v>
      </c>
      <c r="BY45" s="20">
        <v>9.9820000000000009E-4</v>
      </c>
      <c r="BZ45" s="20">
        <v>9.9820000000000009E-4</v>
      </c>
      <c r="CA45" s="31">
        <v>9.9820000000000009E-4</v>
      </c>
      <c r="CB45" s="20">
        <v>9.9820000000000009E-4</v>
      </c>
      <c r="CC45" s="20">
        <v>9.9820000000000009E-4</v>
      </c>
      <c r="CD45" s="20">
        <v>9.9820000000000009E-4</v>
      </c>
      <c r="CE45" s="31">
        <v>9.9820000000000009E-4</v>
      </c>
      <c r="CF45" s="20">
        <v>9.9820000000000009E-4</v>
      </c>
      <c r="CG45" s="20">
        <v>9.9820000000000009E-4</v>
      </c>
      <c r="CH45" s="20">
        <v>9.9820000000000009E-4</v>
      </c>
      <c r="CI45" s="31">
        <v>9.9820000000000009E-4</v>
      </c>
      <c r="CJ45" s="20">
        <v>9.9820000000000009E-4</v>
      </c>
      <c r="CK45" s="20">
        <v>9.9820000000000009E-4</v>
      </c>
      <c r="CL45" s="20">
        <v>9.9820000000000009E-4</v>
      </c>
      <c r="CM45" s="29"/>
      <c r="DD45" s="15"/>
      <c r="DE45" s="15"/>
      <c r="DF45" s="15"/>
      <c r="DG45" s="29"/>
      <c r="DH45" s="15"/>
      <c r="DI45" s="15"/>
      <c r="DJ45" s="15"/>
      <c r="DK45" s="29"/>
      <c r="DL45" s="15"/>
      <c r="DM45" s="15"/>
      <c r="DN45" s="15"/>
      <c r="DO45" s="29"/>
      <c r="DP45" s="15"/>
      <c r="DQ45" s="15"/>
      <c r="DR45" s="15"/>
      <c r="DS45" s="29"/>
      <c r="DT45" s="15"/>
      <c r="DU45" s="15"/>
      <c r="DV45" s="15"/>
      <c r="DW45" s="16">
        <f>SUM(G45:CD45)</f>
        <v>1.5971199999999998E-2</v>
      </c>
      <c r="DX45" s="17" t="str">
        <f t="shared" si="1"/>
        <v>확인</v>
      </c>
      <c r="DY45" s="17" t="s">
        <v>46</v>
      </c>
    </row>
    <row r="46" spans="1:129" ht="21.95" customHeight="1">
      <c r="A46" s="14" t="s">
        <v>44</v>
      </c>
      <c r="B46" s="14" t="s">
        <v>227</v>
      </c>
      <c r="C46" s="22">
        <v>6125400000</v>
      </c>
      <c r="D46" s="23">
        <v>1.3612000000000001E-2</v>
      </c>
      <c r="E46" s="14"/>
      <c r="F46" s="14"/>
      <c r="G46" s="29"/>
      <c r="H46" s="15"/>
      <c r="I46" s="15"/>
      <c r="J46" s="15"/>
      <c r="K46" s="29"/>
      <c r="L46" s="15"/>
      <c r="M46" s="15"/>
      <c r="N46" s="15"/>
      <c r="O46" s="29"/>
      <c r="P46" s="15"/>
      <c r="Q46" s="15"/>
      <c r="R46" s="15"/>
      <c r="S46" s="29"/>
      <c r="T46" s="15"/>
      <c r="U46" s="15"/>
      <c r="V46" s="15"/>
      <c r="W46" s="29"/>
      <c r="X46" s="15"/>
      <c r="Y46" s="15"/>
      <c r="Z46" s="15"/>
      <c r="AA46" s="29"/>
      <c r="AB46" s="15"/>
      <c r="AC46" s="15"/>
      <c r="AD46" s="15"/>
      <c r="AE46" s="29"/>
      <c r="AF46" s="15"/>
      <c r="AG46" s="15"/>
      <c r="AH46" s="15"/>
      <c r="AI46" s="29"/>
      <c r="AJ46" s="15"/>
      <c r="AK46" s="15"/>
      <c r="AL46" s="15"/>
      <c r="AM46" s="29"/>
      <c r="AN46" s="15"/>
      <c r="AO46" s="15"/>
      <c r="AP46" s="15"/>
      <c r="AQ46" s="29"/>
      <c r="AR46" s="15"/>
      <c r="AS46" s="15"/>
      <c r="AT46" s="15"/>
      <c r="AU46" s="29"/>
      <c r="AV46" s="15"/>
      <c r="AW46" s="15"/>
      <c r="AX46" s="15"/>
      <c r="AY46" s="29"/>
      <c r="AZ46" s="15"/>
      <c r="BA46" s="15"/>
      <c r="BB46" s="15"/>
      <c r="BC46" s="29"/>
      <c r="BD46" s="15"/>
      <c r="BE46" s="15"/>
      <c r="BF46" s="15"/>
      <c r="BG46" s="29"/>
      <c r="BH46" s="15"/>
      <c r="BI46" s="15"/>
      <c r="BJ46" s="15"/>
      <c r="BK46" s="29"/>
      <c r="BL46" s="15"/>
      <c r="BM46" s="15"/>
      <c r="BN46" s="15"/>
      <c r="BO46" s="31">
        <v>9.9820000000000009E-4</v>
      </c>
      <c r="BP46" s="20">
        <v>9.9820000000000009E-4</v>
      </c>
      <c r="BQ46" s="20">
        <v>9.9820000000000009E-4</v>
      </c>
      <c r="BR46" s="20">
        <v>9.9820000000000009E-4</v>
      </c>
      <c r="BS46" s="31">
        <v>9.9820000000000009E-4</v>
      </c>
      <c r="BT46" s="20">
        <v>9.9820000000000009E-4</v>
      </c>
      <c r="BU46" s="20">
        <v>9.9820000000000009E-4</v>
      </c>
      <c r="BV46" s="20">
        <v>9.9820000000000009E-4</v>
      </c>
      <c r="BW46" s="31">
        <v>9.9820000000000009E-4</v>
      </c>
      <c r="BX46" s="20">
        <v>9.9820000000000009E-4</v>
      </c>
      <c r="BY46" s="20">
        <v>9.9820000000000009E-4</v>
      </c>
      <c r="BZ46" s="20">
        <v>9.9820000000000009E-4</v>
      </c>
      <c r="CA46" s="31">
        <v>9.9820000000000009E-4</v>
      </c>
      <c r="CB46" s="20">
        <v>9.9820000000000009E-4</v>
      </c>
      <c r="CC46" s="20">
        <v>9.9820000000000009E-4</v>
      </c>
      <c r="CD46" s="20">
        <v>9.9820000000000009E-4</v>
      </c>
      <c r="CE46" s="31">
        <v>9.9820000000000009E-4</v>
      </c>
      <c r="CF46" s="20">
        <v>9.9820000000000009E-4</v>
      </c>
      <c r="CG46" s="20">
        <v>9.9820000000000009E-4</v>
      </c>
      <c r="CH46" s="20">
        <v>9.9820000000000009E-4</v>
      </c>
      <c r="CI46" s="31">
        <v>9.9820000000000009E-4</v>
      </c>
      <c r="CJ46" s="20">
        <v>9.9820000000000009E-4</v>
      </c>
      <c r="CK46" s="20">
        <v>9.9820000000000009E-4</v>
      </c>
      <c r="CL46" s="20">
        <v>9.9820000000000009E-4</v>
      </c>
      <c r="DC46" s="29"/>
      <c r="DD46" s="15"/>
      <c r="DE46" s="15"/>
      <c r="DF46" s="15"/>
      <c r="DG46" s="29"/>
      <c r="DH46" s="15"/>
      <c r="DI46" s="15"/>
      <c r="DJ46" s="15"/>
      <c r="DK46" s="29"/>
      <c r="DL46" s="15"/>
      <c r="DM46" s="15"/>
      <c r="DN46" s="15"/>
      <c r="DO46" s="29"/>
      <c r="DP46" s="15"/>
      <c r="DQ46" s="15"/>
      <c r="DR46" s="15"/>
      <c r="DS46" s="29"/>
      <c r="DT46" s="15"/>
      <c r="DU46" s="15"/>
      <c r="DV46" s="15"/>
      <c r="DW46" s="16">
        <f>SUM(G46:CD46)</f>
        <v>1.5971199999999998E-2</v>
      </c>
      <c r="DX46" s="17" t="str">
        <f t="shared" si="1"/>
        <v>확인</v>
      </c>
      <c r="DY46" s="17" t="s">
        <v>47</v>
      </c>
    </row>
    <row r="47" spans="1:129" ht="21.95" customHeight="1">
      <c r="A47" s="14" t="s">
        <v>44</v>
      </c>
      <c r="B47" s="14" t="s">
        <v>228</v>
      </c>
      <c r="C47" s="22">
        <v>4083300000</v>
      </c>
      <c r="D47" s="23">
        <v>9.0740000000000005E-3</v>
      </c>
      <c r="E47" s="14" t="s">
        <v>55</v>
      </c>
      <c r="F47" s="14"/>
      <c r="G47" s="29"/>
      <c r="H47" s="15"/>
      <c r="I47" s="15"/>
      <c r="J47" s="15"/>
      <c r="K47" s="29"/>
      <c r="L47" s="15"/>
      <c r="M47" s="15"/>
      <c r="N47" s="15"/>
      <c r="O47" s="29"/>
      <c r="P47" s="15"/>
      <c r="Q47" s="15"/>
      <c r="R47" s="15"/>
      <c r="S47" s="29"/>
      <c r="T47" s="15"/>
      <c r="U47" s="15"/>
      <c r="V47" s="15"/>
      <c r="W47" s="29"/>
      <c r="X47" s="15"/>
      <c r="Y47" s="15"/>
      <c r="Z47" s="15"/>
      <c r="AA47" s="29"/>
      <c r="AB47" s="15"/>
      <c r="AC47" s="15"/>
      <c r="AD47" s="15"/>
      <c r="AE47" s="29"/>
      <c r="AF47" s="15"/>
      <c r="AG47" s="15"/>
      <c r="AH47" s="15"/>
      <c r="AI47" s="29"/>
      <c r="AJ47" s="15"/>
      <c r="AK47" s="15"/>
      <c r="AL47" s="15"/>
      <c r="AM47" s="29"/>
      <c r="AN47" s="15"/>
      <c r="AO47" s="15"/>
      <c r="AP47" s="15"/>
      <c r="AQ47" s="29"/>
      <c r="AR47" s="15"/>
      <c r="AS47" s="15"/>
      <c r="AT47" s="15"/>
      <c r="AU47" s="29"/>
      <c r="AV47" s="15"/>
      <c r="AW47" s="15"/>
      <c r="AX47" s="15"/>
      <c r="AY47" s="29"/>
      <c r="AZ47" s="15"/>
      <c r="BA47" s="15"/>
      <c r="BB47" s="15"/>
      <c r="BC47" s="29"/>
      <c r="BD47" s="15"/>
      <c r="BE47" s="15"/>
      <c r="BF47" s="15"/>
      <c r="BG47" s="29"/>
      <c r="BH47" s="15"/>
      <c r="BI47" s="15"/>
      <c r="BJ47" s="15"/>
      <c r="BK47" s="29"/>
      <c r="BL47" s="15"/>
      <c r="BM47" s="15"/>
      <c r="BN47" s="15"/>
      <c r="BO47" s="31">
        <v>9.9820000000000009E-4</v>
      </c>
      <c r="BP47" s="20">
        <v>9.9820000000000009E-4</v>
      </c>
      <c r="BQ47" s="20">
        <v>9.9820000000000009E-4</v>
      </c>
      <c r="BR47" s="20">
        <v>9.9820000000000009E-4</v>
      </c>
      <c r="BS47" s="31">
        <v>9.9820000000000009E-4</v>
      </c>
      <c r="BT47" s="20">
        <v>9.9820000000000009E-4</v>
      </c>
      <c r="BU47" s="20">
        <v>9.9820000000000009E-4</v>
      </c>
      <c r="BV47" s="20">
        <v>9.9820000000000009E-4</v>
      </c>
      <c r="BW47" s="31">
        <v>9.9820000000000009E-4</v>
      </c>
      <c r="BX47" s="20">
        <v>9.9820000000000009E-4</v>
      </c>
      <c r="BY47" s="20">
        <v>9.9820000000000009E-4</v>
      </c>
      <c r="BZ47" s="20">
        <v>9.9820000000000009E-4</v>
      </c>
      <c r="CA47" s="31">
        <v>9.9820000000000009E-4</v>
      </c>
      <c r="CB47" s="20">
        <v>9.9820000000000009E-4</v>
      </c>
      <c r="CC47" s="20">
        <v>9.9820000000000009E-4</v>
      </c>
      <c r="CD47" s="20">
        <v>9.9820000000000009E-4</v>
      </c>
      <c r="CE47" s="31">
        <v>9.9820000000000009E-4</v>
      </c>
      <c r="CF47" s="20">
        <v>9.9820000000000009E-4</v>
      </c>
      <c r="CG47" s="20">
        <v>9.9820000000000009E-4</v>
      </c>
      <c r="CH47" s="20">
        <v>9.9820000000000009E-4</v>
      </c>
      <c r="CI47" s="31">
        <v>9.9820000000000009E-4</v>
      </c>
      <c r="CJ47" s="20">
        <v>9.9820000000000009E-4</v>
      </c>
      <c r="CK47" s="20">
        <v>9.9820000000000009E-4</v>
      </c>
      <c r="CL47" s="20">
        <v>9.9820000000000009E-4</v>
      </c>
      <c r="DC47" s="29"/>
      <c r="DD47" s="15"/>
      <c r="DE47" s="15"/>
      <c r="DF47" s="15"/>
      <c r="DG47" s="29"/>
      <c r="DH47" s="15"/>
      <c r="DI47" s="15"/>
      <c r="DJ47" s="15"/>
      <c r="DK47" s="29"/>
      <c r="DL47" s="15"/>
      <c r="DM47" s="15"/>
      <c r="DN47" s="15"/>
      <c r="DO47" s="29"/>
      <c r="DP47" s="15"/>
      <c r="DQ47" s="15"/>
      <c r="DR47" s="15"/>
      <c r="DS47" s="29"/>
      <c r="DT47" s="15"/>
      <c r="DU47" s="15"/>
      <c r="DV47" s="15"/>
      <c r="DW47" s="16">
        <f>SUM(G47:CD47)</f>
        <v>1.5971199999999998E-2</v>
      </c>
      <c r="DX47" s="17" t="str">
        <f t="shared" si="1"/>
        <v>확인</v>
      </c>
      <c r="DY47" s="17" t="s">
        <v>90</v>
      </c>
    </row>
    <row r="48" spans="1:129" ht="21.95" customHeight="1">
      <c r="A48" s="14" t="s">
        <v>219</v>
      </c>
      <c r="B48" s="14" t="s">
        <v>229</v>
      </c>
      <c r="C48" s="22">
        <v>10208700000</v>
      </c>
      <c r="D48" s="23">
        <v>2.2686000000000001E-2</v>
      </c>
      <c r="E48" s="14"/>
      <c r="F48" s="14"/>
      <c r="G48" s="29"/>
      <c r="H48" s="15"/>
      <c r="I48" s="15"/>
      <c r="J48" s="15"/>
      <c r="K48" s="29"/>
      <c r="L48" s="15"/>
      <c r="M48" s="15"/>
      <c r="N48" s="15"/>
      <c r="O48" s="29"/>
      <c r="P48" s="15"/>
      <c r="Q48" s="15"/>
      <c r="R48" s="15"/>
      <c r="S48" s="29"/>
      <c r="T48" s="15"/>
      <c r="U48" s="15"/>
      <c r="V48" s="15"/>
      <c r="W48" s="29"/>
      <c r="X48" s="15"/>
      <c r="Y48" s="15"/>
      <c r="Z48" s="15"/>
      <c r="AA48" s="29"/>
      <c r="AB48" s="15"/>
      <c r="AC48" s="15"/>
      <c r="AD48" s="15"/>
      <c r="AE48" s="29"/>
      <c r="AF48" s="15"/>
      <c r="AG48" s="15"/>
      <c r="AH48" s="15"/>
      <c r="AI48" s="29"/>
      <c r="AJ48" s="15"/>
      <c r="AK48" s="15"/>
      <c r="AL48" s="15"/>
      <c r="AM48" s="29"/>
      <c r="AN48" s="15"/>
      <c r="AO48" s="15"/>
      <c r="AP48" s="15"/>
      <c r="AQ48" s="29"/>
      <c r="AR48" s="15"/>
      <c r="AS48" s="15"/>
      <c r="AT48" s="15"/>
      <c r="AU48" s="29"/>
      <c r="AV48" s="15"/>
      <c r="AW48" s="15"/>
      <c r="AX48" s="15"/>
      <c r="AY48" s="29"/>
      <c r="AZ48" s="15"/>
      <c r="BA48" s="15"/>
      <c r="BB48" s="15"/>
      <c r="BC48" s="29"/>
      <c r="BD48" s="15"/>
      <c r="BE48" s="15"/>
      <c r="BF48" s="15"/>
      <c r="BG48" s="29"/>
      <c r="BH48" s="15"/>
      <c r="BI48" s="15"/>
      <c r="BJ48" s="15"/>
      <c r="BK48" s="29"/>
      <c r="BL48" s="15"/>
      <c r="BM48" s="15"/>
      <c r="BN48" s="15"/>
      <c r="BO48" s="31">
        <v>9.9820000000000009E-4</v>
      </c>
      <c r="BP48" s="20">
        <v>9.9820000000000009E-4</v>
      </c>
      <c r="BQ48" s="20">
        <v>9.9820000000000009E-4</v>
      </c>
      <c r="BR48" s="20">
        <v>9.9820000000000009E-4</v>
      </c>
      <c r="BS48" s="31">
        <v>9.9820000000000009E-4</v>
      </c>
      <c r="BT48" s="20">
        <v>9.9820000000000009E-4</v>
      </c>
      <c r="BU48" s="20">
        <v>9.9820000000000009E-4</v>
      </c>
      <c r="BV48" s="20">
        <v>9.9820000000000009E-4</v>
      </c>
      <c r="BW48" s="31">
        <v>9.9820000000000009E-4</v>
      </c>
      <c r="BX48" s="20">
        <v>9.9820000000000009E-4</v>
      </c>
      <c r="BY48" s="20">
        <v>9.9820000000000009E-4</v>
      </c>
      <c r="BZ48" s="20">
        <v>9.9820000000000009E-4</v>
      </c>
      <c r="CA48" s="31">
        <v>9.9820000000000009E-4</v>
      </c>
      <c r="CB48" s="20">
        <v>9.9820000000000009E-4</v>
      </c>
      <c r="CC48" s="20">
        <v>9.9820000000000009E-4</v>
      </c>
      <c r="CD48" s="20">
        <v>9.9820000000000009E-4</v>
      </c>
      <c r="CE48" s="31">
        <v>9.9820000000000009E-4</v>
      </c>
      <c r="CF48" s="20">
        <v>9.9820000000000009E-4</v>
      </c>
      <c r="CG48" s="20">
        <v>9.9820000000000009E-4</v>
      </c>
      <c r="CH48" s="20">
        <v>9.9820000000000009E-4</v>
      </c>
      <c r="CI48" s="31">
        <v>9.9820000000000009E-4</v>
      </c>
      <c r="CJ48" s="20">
        <v>9.9820000000000009E-4</v>
      </c>
      <c r="CK48" s="20">
        <v>9.9820000000000009E-4</v>
      </c>
      <c r="CL48" s="20">
        <v>9.9820000000000009E-4</v>
      </c>
      <c r="DC48" s="29"/>
      <c r="DD48" s="15"/>
      <c r="DE48" s="15"/>
      <c r="DF48" s="15"/>
      <c r="DG48" s="29"/>
      <c r="DH48" s="15"/>
      <c r="DI48" s="15"/>
      <c r="DJ48" s="15"/>
      <c r="DK48" s="29"/>
      <c r="DL48" s="15"/>
      <c r="DM48" s="15"/>
      <c r="DN48" s="15"/>
      <c r="DO48" s="29"/>
      <c r="DP48" s="15"/>
      <c r="DQ48" s="15"/>
      <c r="DR48" s="15"/>
      <c r="DS48" s="29"/>
      <c r="DT48" s="15"/>
      <c r="DU48" s="15"/>
      <c r="DV48" s="15"/>
      <c r="DW48" s="16">
        <f>SUM(G48:CD48)</f>
        <v>1.5971199999999998E-2</v>
      </c>
      <c r="DX48" s="17" t="str">
        <f t="shared" si="1"/>
        <v>확인</v>
      </c>
      <c r="DY48" s="17" t="s">
        <v>46</v>
      </c>
    </row>
    <row r="49" spans="1:129" ht="21.95" customHeight="1">
      <c r="A49" s="14" t="s">
        <v>54</v>
      </c>
      <c r="B49" s="14" t="s">
        <v>230</v>
      </c>
      <c r="C49" s="22">
        <v>6125400000</v>
      </c>
      <c r="D49" s="23">
        <v>1.3612000000000001E-2</v>
      </c>
      <c r="E49" s="14"/>
      <c r="F49" s="14"/>
      <c r="G49" s="29"/>
      <c r="H49" s="15"/>
      <c r="I49" s="15"/>
      <c r="J49" s="15"/>
      <c r="K49" s="29"/>
      <c r="L49" s="15"/>
      <c r="M49" s="15"/>
      <c r="N49" s="15"/>
      <c r="O49" s="29"/>
      <c r="P49" s="15"/>
      <c r="Q49" s="15"/>
      <c r="R49" s="15"/>
      <c r="S49" s="29"/>
      <c r="T49" s="15"/>
      <c r="U49" s="15"/>
      <c r="V49" s="15"/>
      <c r="W49" s="29"/>
      <c r="X49" s="15"/>
      <c r="Y49" s="15"/>
      <c r="Z49" s="15"/>
      <c r="AA49" s="29"/>
      <c r="AB49" s="15"/>
      <c r="AC49" s="15"/>
      <c r="AD49" s="15"/>
      <c r="AE49" s="29"/>
      <c r="AF49" s="15"/>
      <c r="AG49" s="15"/>
      <c r="AH49" s="15"/>
      <c r="AI49" s="29"/>
      <c r="AJ49" s="15"/>
      <c r="AK49" s="15"/>
      <c r="AL49" s="15"/>
      <c r="AM49" s="29"/>
      <c r="AN49" s="15"/>
      <c r="AO49" s="15"/>
      <c r="AP49" s="15"/>
      <c r="AQ49" s="29"/>
      <c r="AR49" s="15"/>
      <c r="AS49" s="15"/>
      <c r="AT49" s="15"/>
      <c r="AU49" s="29"/>
      <c r="AV49" s="15"/>
      <c r="AW49" s="15"/>
      <c r="AX49" s="15"/>
      <c r="AY49" s="29"/>
      <c r="AZ49" s="15"/>
      <c r="BA49" s="15"/>
      <c r="BB49" s="15"/>
      <c r="BC49" s="29"/>
      <c r="BD49" s="15"/>
      <c r="BE49" s="15"/>
      <c r="BF49" s="15"/>
      <c r="BG49" s="29"/>
      <c r="BH49" s="15"/>
      <c r="BI49" s="15"/>
      <c r="BJ49" s="15"/>
      <c r="BK49" s="29"/>
      <c r="BL49" s="15"/>
      <c r="BM49" s="15"/>
      <c r="BN49" s="15"/>
      <c r="BO49" s="29"/>
      <c r="BP49" s="15"/>
      <c r="BQ49" s="15"/>
      <c r="BR49" s="15"/>
      <c r="BS49" s="29"/>
      <c r="BT49" s="15"/>
      <c r="BU49" s="15"/>
      <c r="BV49" s="15"/>
      <c r="BW49" s="29"/>
      <c r="BX49" s="15"/>
      <c r="BY49" s="15"/>
      <c r="BZ49" s="15"/>
      <c r="CA49" s="29"/>
      <c r="CB49" s="15"/>
      <c r="CC49" s="15"/>
      <c r="CD49" s="15"/>
      <c r="CI49" s="31">
        <v>9.9820000000000009E-4</v>
      </c>
      <c r="CJ49" s="20">
        <v>9.9820000000000009E-4</v>
      </c>
      <c r="CK49" s="20">
        <v>9.9820000000000009E-4</v>
      </c>
      <c r="CL49" s="20">
        <v>9.9820000000000009E-4</v>
      </c>
      <c r="CM49" s="31">
        <v>9.9820000000000009E-4</v>
      </c>
      <c r="CN49" s="20">
        <v>9.9820000000000009E-4</v>
      </c>
      <c r="CO49" s="20">
        <v>9.9820000000000009E-4</v>
      </c>
      <c r="CP49" s="20">
        <v>9.9820000000000009E-4</v>
      </c>
      <c r="CQ49" s="31">
        <v>9.9820000000000009E-4</v>
      </c>
      <c r="CR49" s="20">
        <v>9.9820000000000009E-4</v>
      </c>
      <c r="CS49" s="20">
        <v>9.9820000000000009E-4</v>
      </c>
      <c r="CT49" s="20">
        <v>9.9820000000000009E-4</v>
      </c>
      <c r="CU49" s="31">
        <v>9.9820000000000009E-4</v>
      </c>
      <c r="CV49" s="20">
        <v>9.9820000000000009E-4</v>
      </c>
      <c r="CW49" s="20">
        <v>9.9820000000000009E-4</v>
      </c>
      <c r="CX49" s="20">
        <v>9.9820000000000009E-4</v>
      </c>
      <c r="CY49" s="31">
        <v>9.9820000000000009E-4</v>
      </c>
      <c r="CZ49" s="20">
        <v>9.9820000000000009E-4</v>
      </c>
      <c r="DA49" s="20">
        <v>9.9820000000000009E-4</v>
      </c>
      <c r="DB49" s="20">
        <v>9.9820000000000009E-4</v>
      </c>
      <c r="DC49" s="31">
        <v>9.9820000000000009E-4</v>
      </c>
      <c r="DD49" s="20">
        <v>9.9820000000000009E-4</v>
      </c>
      <c r="DE49" s="20">
        <v>9.9820000000000009E-4</v>
      </c>
      <c r="DF49" s="20">
        <v>9.9820000000000009E-4</v>
      </c>
      <c r="DG49" s="29"/>
      <c r="DH49" s="15"/>
      <c r="DI49" s="15"/>
      <c r="DJ49" s="15"/>
      <c r="DK49" s="29"/>
      <c r="DL49" s="15"/>
      <c r="DM49" s="15"/>
      <c r="DN49" s="15"/>
      <c r="DO49" s="29"/>
      <c r="DP49" s="15"/>
      <c r="DQ49" s="15"/>
      <c r="DR49" s="15"/>
      <c r="DS49" s="29"/>
      <c r="DT49" s="15"/>
      <c r="DU49" s="15"/>
      <c r="DV49" s="15"/>
      <c r="DW49" s="16">
        <f>SUM(G49:CX49)</f>
        <v>1.5971199999999998E-2</v>
      </c>
      <c r="DX49" s="17" t="str">
        <f t="shared" si="1"/>
        <v>확인</v>
      </c>
      <c r="DY49" s="17" t="s">
        <v>57</v>
      </c>
    </row>
    <row r="50" spans="1:129" ht="21.95" customHeight="1">
      <c r="A50" s="14" t="s">
        <v>54</v>
      </c>
      <c r="B50" s="14" t="s">
        <v>231</v>
      </c>
      <c r="C50" s="22">
        <v>8983800000</v>
      </c>
      <c r="D50" s="23">
        <v>1.9963999999999999E-2</v>
      </c>
      <c r="E50" s="14"/>
      <c r="F50" s="14"/>
      <c r="G50" s="29"/>
      <c r="H50" s="15"/>
      <c r="I50" s="15"/>
      <c r="J50" s="15"/>
      <c r="K50" s="29"/>
      <c r="L50" s="15"/>
      <c r="M50" s="15"/>
      <c r="N50" s="15"/>
      <c r="O50" s="29"/>
      <c r="P50" s="15"/>
      <c r="Q50" s="15"/>
      <c r="R50" s="15"/>
      <c r="S50" s="29"/>
      <c r="T50" s="15"/>
      <c r="U50" s="15"/>
      <c r="V50" s="15"/>
      <c r="W50" s="29"/>
      <c r="X50" s="15"/>
      <c r="Y50" s="15"/>
      <c r="Z50" s="15"/>
      <c r="AA50" s="29"/>
      <c r="AB50" s="15"/>
      <c r="AC50" s="15"/>
      <c r="AD50" s="15"/>
      <c r="AE50" s="29"/>
      <c r="AF50" s="15"/>
      <c r="AG50" s="15"/>
      <c r="AH50" s="15"/>
      <c r="AI50" s="29"/>
      <c r="AJ50" s="15"/>
      <c r="AK50" s="15"/>
      <c r="AL50" s="15"/>
      <c r="AM50" s="29"/>
      <c r="AN50" s="15"/>
      <c r="AO50" s="15"/>
      <c r="AP50" s="15"/>
      <c r="AQ50" s="29"/>
      <c r="AR50" s="15"/>
      <c r="AS50" s="15"/>
      <c r="AT50" s="15"/>
      <c r="AU50" s="29"/>
      <c r="AV50" s="15"/>
      <c r="AW50" s="15"/>
      <c r="AX50" s="15"/>
      <c r="AY50" s="29"/>
      <c r="AZ50" s="15"/>
      <c r="BA50" s="15"/>
      <c r="BB50" s="15"/>
      <c r="BC50" s="29"/>
      <c r="BD50" s="15"/>
      <c r="BE50" s="15"/>
      <c r="BF50" s="15"/>
      <c r="BG50" s="29"/>
      <c r="BH50" s="15"/>
      <c r="BI50" s="15"/>
      <c r="BJ50" s="15"/>
      <c r="BK50" s="29"/>
      <c r="BL50" s="15"/>
      <c r="BM50" s="15"/>
      <c r="BN50" s="15"/>
      <c r="BO50" s="29"/>
      <c r="BP50" s="15"/>
      <c r="BQ50" s="15"/>
      <c r="BR50" s="15"/>
      <c r="BS50" s="29"/>
      <c r="BT50" s="15"/>
      <c r="BU50" s="15"/>
      <c r="BV50" s="15"/>
      <c r="BW50" s="29"/>
      <c r="BX50" s="15"/>
      <c r="BY50" s="15"/>
      <c r="BZ50" s="15"/>
      <c r="CA50" s="29"/>
      <c r="CB50" s="15"/>
      <c r="CC50" s="15"/>
      <c r="CD50" s="15"/>
      <c r="CY50" s="31">
        <v>9.9820000000000009E-4</v>
      </c>
      <c r="CZ50" s="20">
        <v>9.9820000000000009E-4</v>
      </c>
      <c r="DA50" s="20">
        <v>9.9820000000000009E-4</v>
      </c>
      <c r="DB50" s="20">
        <v>9.9820000000000009E-4</v>
      </c>
      <c r="DC50" s="31">
        <v>9.9820000000000009E-4</v>
      </c>
      <c r="DD50" s="20">
        <v>9.9820000000000009E-4</v>
      </c>
      <c r="DE50" s="20">
        <v>9.9820000000000009E-4</v>
      </c>
      <c r="DF50" s="20">
        <v>9.9820000000000009E-4</v>
      </c>
      <c r="DG50" s="31">
        <v>9.9820000000000009E-4</v>
      </c>
      <c r="DH50" s="20">
        <v>9.9820000000000009E-4</v>
      </c>
      <c r="DI50" s="20">
        <v>9.9820000000000009E-4</v>
      </c>
      <c r="DJ50" s="20">
        <v>9.9820000000000009E-4</v>
      </c>
      <c r="DK50" s="31">
        <v>9.9820000000000009E-4</v>
      </c>
      <c r="DL50" s="20">
        <v>9.9820000000000009E-4</v>
      </c>
      <c r="DM50" s="20">
        <v>9.9820000000000009E-4</v>
      </c>
      <c r="DN50" s="20">
        <v>9.9820000000000009E-4</v>
      </c>
      <c r="DO50" s="31">
        <v>9.9820000000000009E-4</v>
      </c>
      <c r="DP50" s="20">
        <v>9.9820000000000009E-4</v>
      </c>
      <c r="DQ50" s="20">
        <v>9.9820000000000009E-4</v>
      </c>
      <c r="DR50" s="20">
        <v>9.9820000000000009E-4</v>
      </c>
      <c r="DS50" s="31">
        <v>9.9820000000000009E-4</v>
      </c>
      <c r="DT50" s="20">
        <v>9.9820000000000009E-4</v>
      </c>
      <c r="DU50" s="20">
        <v>9.9820000000000009E-4</v>
      </c>
      <c r="DV50" s="20">
        <v>9.9820000000000009E-4</v>
      </c>
      <c r="DW50" s="16">
        <f>SUM(G50:DN50)</f>
        <v>1.5971199999999998E-2</v>
      </c>
      <c r="DX50" s="17" t="str">
        <f t="shared" si="1"/>
        <v>확인</v>
      </c>
      <c r="DY50" s="17" t="s">
        <v>92</v>
      </c>
    </row>
    <row r="51" spans="1:129" ht="21.95" customHeight="1">
      <c r="A51" s="14" t="s">
        <v>52</v>
      </c>
      <c r="B51" s="14" t="s">
        <v>232</v>
      </c>
      <c r="C51" s="22">
        <v>5716800000</v>
      </c>
      <c r="D51" s="23">
        <v>1.2704E-2</v>
      </c>
      <c r="E51" s="14"/>
      <c r="F51" s="14"/>
      <c r="G51" s="29"/>
      <c r="H51" s="15"/>
      <c r="I51" s="15"/>
      <c r="J51" s="15"/>
      <c r="K51" s="29"/>
      <c r="L51" s="15"/>
      <c r="M51" s="15"/>
      <c r="N51" s="15"/>
      <c r="O51" s="29"/>
      <c r="P51" s="15"/>
      <c r="Q51" s="15"/>
      <c r="R51" s="15"/>
      <c r="S51" s="29"/>
      <c r="T51" s="15"/>
      <c r="U51" s="15"/>
      <c r="V51" s="15"/>
      <c r="W51" s="29"/>
      <c r="X51" s="15"/>
      <c r="Y51" s="15"/>
      <c r="Z51" s="15"/>
      <c r="AA51" s="29"/>
      <c r="AB51" s="15"/>
      <c r="AC51" s="15"/>
      <c r="AD51" s="15"/>
      <c r="AE51" s="29"/>
      <c r="AF51" s="15"/>
      <c r="AG51" s="15"/>
      <c r="AH51" s="15"/>
      <c r="AI51" s="29"/>
      <c r="AJ51" s="15"/>
      <c r="AK51" s="15"/>
      <c r="AL51" s="15"/>
      <c r="AM51" s="29"/>
      <c r="AN51" s="15"/>
      <c r="AO51" s="15"/>
      <c r="AP51" s="15"/>
      <c r="AQ51" s="29"/>
      <c r="AR51" s="15"/>
      <c r="AS51" s="15"/>
      <c r="AT51" s="15"/>
      <c r="AU51" s="29"/>
      <c r="AV51" s="15"/>
      <c r="AW51" s="15"/>
      <c r="AX51" s="15"/>
      <c r="AY51" s="29"/>
      <c r="AZ51" s="15"/>
      <c r="BA51" s="15"/>
      <c r="BB51" s="15"/>
      <c r="BC51" s="29"/>
      <c r="BD51" s="15"/>
      <c r="BE51" s="15"/>
      <c r="BF51" s="15"/>
      <c r="BG51" s="29"/>
      <c r="BH51" s="15"/>
      <c r="BI51" s="15"/>
      <c r="BJ51" s="15"/>
      <c r="BK51" s="29"/>
      <c r="BL51" s="15"/>
      <c r="BM51" s="15"/>
      <c r="BN51" s="15"/>
      <c r="BO51" s="29"/>
      <c r="BP51" s="15"/>
      <c r="BQ51" s="15"/>
      <c r="BR51" s="15"/>
      <c r="BS51" s="29"/>
      <c r="BT51" s="15"/>
      <c r="BU51" s="15"/>
      <c r="BV51" s="15"/>
      <c r="BW51" s="29"/>
      <c r="BX51" s="15"/>
      <c r="BY51" s="15"/>
      <c r="BZ51" s="15"/>
      <c r="CA51" s="29"/>
      <c r="CB51" s="15"/>
      <c r="CC51" s="15"/>
      <c r="CD51" s="15"/>
      <c r="CE51" s="31">
        <v>9.9820000000000009E-4</v>
      </c>
      <c r="CF51" s="20">
        <v>9.9820000000000009E-4</v>
      </c>
      <c r="CG51" s="20">
        <v>9.9820000000000009E-4</v>
      </c>
      <c r="CH51" s="20">
        <v>9.9820000000000009E-4</v>
      </c>
      <c r="CI51" s="31">
        <v>9.9820000000000009E-4</v>
      </c>
      <c r="CJ51" s="20">
        <v>9.9820000000000009E-4</v>
      </c>
      <c r="CK51" s="20">
        <v>9.9820000000000009E-4</v>
      </c>
      <c r="CL51" s="20">
        <v>9.9820000000000009E-4</v>
      </c>
      <c r="CM51" s="31">
        <v>9.9820000000000009E-4</v>
      </c>
      <c r="CN51" s="20">
        <v>9.9820000000000009E-4</v>
      </c>
      <c r="CO51" s="20">
        <v>9.9820000000000009E-4</v>
      </c>
      <c r="CP51" s="20">
        <v>9.9820000000000009E-4</v>
      </c>
      <c r="CQ51" s="31">
        <v>9.9820000000000009E-4</v>
      </c>
      <c r="CR51" s="20">
        <v>9.9820000000000009E-4</v>
      </c>
      <c r="CS51" s="20">
        <v>9.9820000000000009E-4</v>
      </c>
      <c r="CT51" s="20">
        <v>9.9820000000000009E-4</v>
      </c>
      <c r="CU51" s="31">
        <v>9.9820000000000009E-4</v>
      </c>
      <c r="CV51" s="20">
        <v>9.9820000000000009E-4</v>
      </c>
      <c r="CW51" s="20">
        <v>9.9820000000000009E-4</v>
      </c>
      <c r="CX51" s="20">
        <v>9.9820000000000009E-4</v>
      </c>
      <c r="CY51" s="31">
        <v>9.9820000000000009E-4</v>
      </c>
      <c r="CZ51" s="20">
        <v>9.9820000000000009E-4</v>
      </c>
      <c r="DA51" s="20">
        <v>9.9820000000000009E-4</v>
      </c>
      <c r="DB51" s="20">
        <v>9.9820000000000009E-4</v>
      </c>
      <c r="DC51" s="29"/>
      <c r="DD51" s="15"/>
      <c r="DE51" s="15"/>
      <c r="DF51" s="15"/>
      <c r="DG51" s="29"/>
      <c r="DH51" s="15"/>
      <c r="DI51" s="15"/>
      <c r="DJ51" s="15"/>
      <c r="DK51" s="29"/>
      <c r="DL51" s="15"/>
      <c r="DM51" s="15"/>
      <c r="DN51" s="15"/>
      <c r="DO51" s="29"/>
      <c r="DP51" s="15"/>
      <c r="DQ51" s="15"/>
      <c r="DR51" s="15"/>
      <c r="DS51" s="29"/>
      <c r="DT51" s="15"/>
      <c r="DU51" s="15"/>
      <c r="DV51" s="15"/>
      <c r="DW51" s="16">
        <f>SUM(G51:CT51)</f>
        <v>1.5971199999999998E-2</v>
      </c>
      <c r="DX51" s="17" t="str">
        <f t="shared" si="1"/>
        <v>확인</v>
      </c>
      <c r="DY51" s="17" t="s">
        <v>90</v>
      </c>
    </row>
    <row r="52" spans="1:129" ht="21.95" customHeight="1">
      <c r="A52" s="14" t="s">
        <v>52</v>
      </c>
      <c r="B52" s="14" t="s">
        <v>233</v>
      </c>
      <c r="C52" s="22">
        <v>7349400000</v>
      </c>
      <c r="D52" s="23">
        <v>1.6331999999999999E-2</v>
      </c>
      <c r="E52" s="14" t="s">
        <v>53</v>
      </c>
      <c r="F52" s="14"/>
      <c r="G52" s="29"/>
      <c r="H52" s="15"/>
      <c r="I52" s="15"/>
      <c r="J52" s="15"/>
      <c r="K52" s="29"/>
      <c r="L52" s="15"/>
      <c r="M52" s="15"/>
      <c r="N52" s="15"/>
      <c r="O52" s="29"/>
      <c r="P52" s="15"/>
      <c r="Q52" s="15"/>
      <c r="R52" s="15"/>
      <c r="S52" s="29"/>
      <c r="T52" s="15"/>
      <c r="U52" s="15"/>
      <c r="V52" s="15"/>
      <c r="W52" s="29"/>
      <c r="X52" s="15"/>
      <c r="Y52" s="15"/>
      <c r="Z52" s="15"/>
      <c r="AA52" s="29"/>
      <c r="AB52" s="15"/>
      <c r="AC52" s="15"/>
      <c r="AD52" s="15"/>
      <c r="AE52" s="29"/>
      <c r="AF52" s="15"/>
      <c r="AG52" s="15"/>
      <c r="AH52" s="15"/>
      <c r="AI52" s="29"/>
      <c r="AJ52" s="15"/>
      <c r="AK52" s="15"/>
      <c r="AL52" s="15"/>
      <c r="AM52" s="29"/>
      <c r="AN52" s="15"/>
      <c r="AO52" s="15"/>
      <c r="AP52" s="15"/>
      <c r="AQ52" s="29"/>
      <c r="AR52" s="15"/>
      <c r="AS52" s="15"/>
      <c r="AT52" s="15"/>
      <c r="AU52" s="29"/>
      <c r="AV52" s="15"/>
      <c r="AW52" s="15"/>
      <c r="AX52" s="15"/>
      <c r="AY52" s="29"/>
      <c r="AZ52" s="15"/>
      <c r="BA52" s="15"/>
      <c r="BB52" s="15"/>
      <c r="BC52" s="29"/>
      <c r="BD52" s="15"/>
      <c r="BE52" s="15"/>
      <c r="BF52" s="15"/>
      <c r="BG52" s="29"/>
      <c r="BH52" s="15"/>
      <c r="BI52" s="15"/>
      <c r="BJ52" s="15"/>
      <c r="BK52" s="29"/>
      <c r="BL52" s="15"/>
      <c r="BM52" s="15"/>
      <c r="BN52" s="15"/>
      <c r="BO52" s="29"/>
      <c r="BP52" s="15"/>
      <c r="BQ52" s="15"/>
      <c r="BR52" s="15"/>
      <c r="BS52" s="29"/>
      <c r="BT52" s="15"/>
      <c r="BU52" s="15"/>
      <c r="BV52" s="15"/>
      <c r="BW52" s="29"/>
      <c r="BX52" s="15"/>
      <c r="BY52" s="15"/>
      <c r="BZ52" s="15"/>
      <c r="CA52" s="29"/>
      <c r="CB52" s="15"/>
      <c r="CC52" s="15"/>
      <c r="CD52" s="15"/>
      <c r="CE52" s="31"/>
      <c r="CF52" s="20"/>
      <c r="CG52" s="20"/>
      <c r="CH52" s="20"/>
      <c r="CI52" s="31"/>
      <c r="CJ52" s="20"/>
      <c r="CK52" s="20"/>
      <c r="CL52" s="20"/>
      <c r="CM52" s="31"/>
      <c r="CN52" s="20"/>
      <c r="CO52" s="20"/>
      <c r="CP52" s="20"/>
      <c r="CQ52" s="31"/>
      <c r="CR52" s="20"/>
      <c r="CS52" s="20"/>
      <c r="CT52" s="20"/>
      <c r="CU52" s="31"/>
      <c r="CV52" s="20"/>
      <c r="CW52" s="20"/>
      <c r="CX52" s="20"/>
      <c r="CY52" s="31"/>
      <c r="CZ52" s="20"/>
      <c r="DA52" s="20"/>
      <c r="DB52" s="20"/>
      <c r="DC52" s="29"/>
      <c r="DD52" s="15"/>
      <c r="DE52" s="15"/>
      <c r="DF52" s="15"/>
      <c r="DG52" s="29"/>
      <c r="DH52" s="15"/>
      <c r="DI52" s="15"/>
      <c r="DJ52" s="15"/>
      <c r="DK52" s="29"/>
      <c r="DL52" s="15"/>
      <c r="DM52" s="15"/>
      <c r="DN52" s="15"/>
      <c r="DO52" s="31">
        <v>9.9820000000000009E-4</v>
      </c>
      <c r="DP52" s="20">
        <v>9.9820000000000009E-4</v>
      </c>
      <c r="DQ52" s="20">
        <v>9.9820000000000009E-4</v>
      </c>
      <c r="DR52" s="20">
        <v>9.9820000000000009E-4</v>
      </c>
      <c r="DS52" s="31">
        <v>9.9820000000000009E-4</v>
      </c>
      <c r="DT52" s="20">
        <v>9.9820000000000009E-4</v>
      </c>
      <c r="DU52" s="20">
        <v>9.9820000000000009E-4</v>
      </c>
      <c r="DV52" s="20">
        <v>9.9820000000000009E-4</v>
      </c>
      <c r="DW52" s="16">
        <f>SUM(G52:CT52)</f>
        <v>0</v>
      </c>
      <c r="DX52" s="17" t="str">
        <f t="shared" si="1"/>
        <v>확인</v>
      </c>
      <c r="DY52" s="17" t="s">
        <v>93</v>
      </c>
    </row>
    <row r="53" spans="1:129">
      <c r="C53" s="3"/>
      <c r="D53" s="5"/>
      <c r="DW53" s="5"/>
    </row>
    <row r="54" spans="1:129" ht="15">
      <c r="A54" s="1" t="s">
        <v>62</v>
      </c>
      <c r="B54" s="1"/>
      <c r="C54" s="4">
        <v>450000000000</v>
      </c>
      <c r="D54" s="6">
        <v>1</v>
      </c>
      <c r="E54" s="1"/>
      <c r="F54" s="1"/>
      <c r="G54" s="30">
        <f>SUM(G9:G52)</f>
        <v>1.6335E-3</v>
      </c>
      <c r="H54" s="7">
        <f>SUM(H9:H52)</f>
        <v>1.815E-3</v>
      </c>
      <c r="I54" s="7">
        <f>SUM(I9:I52)</f>
        <v>5.6264000000000002E-3</v>
      </c>
      <c r="J54" s="7">
        <f>SUM(J9:J52)</f>
        <v>5.6264000000000002E-3</v>
      </c>
      <c r="K54" s="30"/>
      <c r="L54" s="7"/>
      <c r="M54" s="7"/>
      <c r="N54" s="7"/>
      <c r="O54" s="30"/>
      <c r="P54" s="7"/>
      <c r="Q54" s="7"/>
      <c r="R54" s="7"/>
      <c r="S54" s="30"/>
      <c r="T54" s="7"/>
      <c r="U54" s="7"/>
      <c r="V54" s="7"/>
      <c r="W54" s="30">
        <f t="shared" ref="W54:CH54" si="4">SUM(W9:W52)</f>
        <v>5.4836600000000004E-3</v>
      </c>
      <c r="X54" s="7">
        <f t="shared" si="4"/>
        <v>5.4836600000000004E-3</v>
      </c>
      <c r="Y54" s="7">
        <f t="shared" si="4"/>
        <v>5.4836600000000004E-3</v>
      </c>
      <c r="Z54" s="7">
        <f t="shared" si="4"/>
        <v>5.4836600000000004E-3</v>
      </c>
      <c r="AA54" s="30">
        <f t="shared" si="4"/>
        <v>6.4818600000000007E-3</v>
      </c>
      <c r="AB54" s="7">
        <f t="shared" si="4"/>
        <v>5.4836600000000004E-3</v>
      </c>
      <c r="AC54" s="7">
        <f t="shared" si="4"/>
        <v>3.4872600000000007E-3</v>
      </c>
      <c r="AD54" s="7">
        <f t="shared" si="4"/>
        <v>3.4872600000000007E-3</v>
      </c>
      <c r="AE54" s="30">
        <f t="shared" si="4"/>
        <v>2.4890600000000004E-3</v>
      </c>
      <c r="AF54" s="7">
        <f t="shared" si="4"/>
        <v>2.4890600000000004E-3</v>
      </c>
      <c r="AG54" s="7">
        <f t="shared" si="4"/>
        <v>2.4890600000000004E-3</v>
      </c>
      <c r="AH54" s="7">
        <f t="shared" si="4"/>
        <v>2.4890600000000004E-3</v>
      </c>
      <c r="AI54" s="30">
        <f t="shared" si="4"/>
        <v>2.4890600000000004E-3</v>
      </c>
      <c r="AJ54" s="7">
        <f t="shared" si="4"/>
        <v>2.4890600000000004E-3</v>
      </c>
      <c r="AK54" s="7">
        <f t="shared" si="4"/>
        <v>1.9057000000000002E-3</v>
      </c>
      <c r="AL54" s="7">
        <f t="shared" si="4"/>
        <v>1.9057000000000002E-3</v>
      </c>
      <c r="AM54" s="30">
        <f t="shared" si="4"/>
        <v>1.9057000000000002E-3</v>
      </c>
      <c r="AN54" s="7">
        <f t="shared" si="4"/>
        <v>1.9057000000000002E-3</v>
      </c>
      <c r="AO54" s="7">
        <f t="shared" si="4"/>
        <v>1.9057000000000002E-3</v>
      </c>
      <c r="AP54" s="7">
        <f t="shared" si="4"/>
        <v>1.9057000000000002E-3</v>
      </c>
      <c r="AQ54" s="30">
        <f t="shared" si="4"/>
        <v>1.9057000000000002E-3</v>
      </c>
      <c r="AR54" s="7">
        <f t="shared" si="4"/>
        <v>1.9057000000000002E-3</v>
      </c>
      <c r="AS54" s="7">
        <f t="shared" si="4"/>
        <v>1.9057000000000002E-3</v>
      </c>
      <c r="AT54" s="7">
        <f t="shared" si="4"/>
        <v>1.9057000000000002E-3</v>
      </c>
      <c r="AU54" s="30">
        <f t="shared" si="4"/>
        <v>1.9057000000000002E-3</v>
      </c>
      <c r="AV54" s="7">
        <f t="shared" si="4"/>
        <v>1.9057000000000002E-3</v>
      </c>
      <c r="AW54" s="7">
        <f t="shared" si="4"/>
        <v>1.9057000000000002E-3</v>
      </c>
      <c r="AX54" s="7">
        <f t="shared" si="4"/>
        <v>1.9057000000000002E-3</v>
      </c>
      <c r="AY54" s="30">
        <f t="shared" si="4"/>
        <v>3.9021000000000004E-3</v>
      </c>
      <c r="AZ54" s="7">
        <f t="shared" si="4"/>
        <v>3.9021000000000004E-3</v>
      </c>
      <c r="BA54" s="7">
        <f t="shared" si="4"/>
        <v>3.9021000000000004E-3</v>
      </c>
      <c r="BB54" s="7">
        <f t="shared" si="4"/>
        <v>3.9021000000000004E-3</v>
      </c>
      <c r="BC54" s="30">
        <f t="shared" si="4"/>
        <v>5.898500000000001E-3</v>
      </c>
      <c r="BD54" s="7">
        <f t="shared" si="4"/>
        <v>5.898500000000001E-3</v>
      </c>
      <c r="BE54" s="7">
        <f t="shared" si="4"/>
        <v>5.898500000000001E-3</v>
      </c>
      <c r="BF54" s="7">
        <f t="shared" si="4"/>
        <v>5.898500000000001E-3</v>
      </c>
      <c r="BG54" s="30">
        <f t="shared" si="4"/>
        <v>8.893100000000001E-3</v>
      </c>
      <c r="BH54" s="7">
        <f t="shared" si="4"/>
        <v>8.893100000000001E-3</v>
      </c>
      <c r="BI54" s="7">
        <f t="shared" si="4"/>
        <v>1.08895E-2</v>
      </c>
      <c r="BJ54" s="7">
        <f t="shared" si="4"/>
        <v>1.08895E-2</v>
      </c>
      <c r="BK54" s="30">
        <f t="shared" si="4"/>
        <v>1.08895E-2</v>
      </c>
      <c r="BL54" s="7">
        <f t="shared" si="4"/>
        <v>1.08895E-2</v>
      </c>
      <c r="BM54" s="7">
        <f t="shared" si="4"/>
        <v>1.08895E-2</v>
      </c>
      <c r="BN54" s="7">
        <f t="shared" si="4"/>
        <v>1.08895E-2</v>
      </c>
      <c r="BO54" s="30">
        <f t="shared" si="4"/>
        <v>1.7876900000000001E-2</v>
      </c>
      <c r="BP54" s="7">
        <f t="shared" si="4"/>
        <v>1.7876900000000001E-2</v>
      </c>
      <c r="BQ54" s="7">
        <f t="shared" si="4"/>
        <v>1.9873300000000003E-2</v>
      </c>
      <c r="BR54" s="7">
        <f t="shared" si="4"/>
        <v>1.9873300000000003E-2</v>
      </c>
      <c r="BS54" s="30">
        <f t="shared" si="4"/>
        <v>2.0871500000000005E-2</v>
      </c>
      <c r="BT54" s="7">
        <f t="shared" si="4"/>
        <v>2.0871500000000005E-2</v>
      </c>
      <c r="BU54" s="7">
        <f t="shared" si="4"/>
        <v>1.8875100000000002E-2</v>
      </c>
      <c r="BV54" s="7">
        <f t="shared" si="4"/>
        <v>1.8875100000000002E-2</v>
      </c>
      <c r="BW54" s="30">
        <f t="shared" si="4"/>
        <v>1.7876900000000001E-2</v>
      </c>
      <c r="BX54" s="7">
        <f t="shared" si="4"/>
        <v>1.7876900000000001E-2</v>
      </c>
      <c r="BY54" s="7">
        <f t="shared" si="4"/>
        <v>1.5880499999999999E-2</v>
      </c>
      <c r="BZ54" s="7">
        <f t="shared" si="4"/>
        <v>1.5880499999999999E-2</v>
      </c>
      <c r="CA54" s="30">
        <f t="shared" si="4"/>
        <v>1.4882299999999998E-2</v>
      </c>
      <c r="CB54" s="7">
        <f t="shared" si="4"/>
        <v>1.4882299999999998E-2</v>
      </c>
      <c r="CC54" s="7">
        <f t="shared" si="4"/>
        <v>9.8913000000000004E-3</v>
      </c>
      <c r="CD54" s="7">
        <f t="shared" si="4"/>
        <v>9.8913000000000004E-3</v>
      </c>
      <c r="CE54" s="30">
        <f t="shared" si="4"/>
        <v>9.8913000000000004E-3</v>
      </c>
      <c r="CF54" s="7">
        <f t="shared" si="4"/>
        <v>9.8913000000000004E-3</v>
      </c>
      <c r="CG54" s="7">
        <f t="shared" si="4"/>
        <v>9.8913000000000004E-3</v>
      </c>
      <c r="CH54" s="7">
        <f t="shared" si="4"/>
        <v>9.8913000000000004E-3</v>
      </c>
      <c r="CI54" s="30">
        <f t="shared" ref="CI54:CT54" si="5">SUM(CI9:CI52)</f>
        <v>1.1978399999999998E-2</v>
      </c>
      <c r="CJ54" s="7">
        <f t="shared" si="5"/>
        <v>1.1978399999999998E-2</v>
      </c>
      <c r="CK54" s="7">
        <f t="shared" si="5"/>
        <v>1.1978399999999998E-2</v>
      </c>
      <c r="CL54" s="7">
        <f t="shared" si="5"/>
        <v>1.1978399999999998E-2</v>
      </c>
      <c r="CM54" s="30">
        <f t="shared" si="5"/>
        <v>7.9856000000000007E-3</v>
      </c>
      <c r="CN54" s="7">
        <f t="shared" si="5"/>
        <v>7.9856000000000007E-3</v>
      </c>
      <c r="CO54" s="7">
        <f t="shared" si="5"/>
        <v>7.9856000000000007E-3</v>
      </c>
      <c r="CP54" s="7">
        <f t="shared" si="5"/>
        <v>7.9856000000000007E-3</v>
      </c>
      <c r="CQ54" s="30">
        <f t="shared" si="5"/>
        <v>5.9892000000000009E-3</v>
      </c>
      <c r="CR54" s="7">
        <f t="shared" si="5"/>
        <v>5.9892000000000009E-3</v>
      </c>
      <c r="CS54" s="7">
        <f t="shared" si="5"/>
        <v>5.9892000000000009E-3</v>
      </c>
      <c r="CT54" s="7">
        <f t="shared" si="5"/>
        <v>5.9892000000000009E-3</v>
      </c>
      <c r="CU54" s="30"/>
      <c r="CV54" s="7"/>
      <c r="CW54" s="7"/>
      <c r="CX54" s="7"/>
      <c r="CY54" s="30"/>
      <c r="CZ54" s="7"/>
      <c r="DA54" s="7"/>
      <c r="DB54" s="7"/>
      <c r="DC54" s="30"/>
      <c r="DD54" s="7"/>
      <c r="DE54" s="7"/>
      <c r="DF54" s="7"/>
      <c r="DG54" s="30"/>
      <c r="DH54" s="7"/>
      <c r="DI54" s="7"/>
      <c r="DJ54" s="7"/>
      <c r="DK54" s="30"/>
      <c r="DL54" s="7"/>
      <c r="DM54" s="7"/>
      <c r="DN54" s="7"/>
      <c r="DO54" s="30"/>
      <c r="DP54" s="7"/>
      <c r="DQ54" s="7"/>
      <c r="DR54" s="7"/>
      <c r="DS54" s="30"/>
      <c r="DT54" s="7"/>
      <c r="DU54" s="7"/>
      <c r="DV54" s="7"/>
      <c r="DW54">
        <f>SUM(DW9:DW52)</f>
        <v>0.68576833999999987</v>
      </c>
      <c r="DX54" t="str">
        <f>IF(ABS(D54-DW54)&lt;0.0001,"OK","확인")</f>
        <v>확인</v>
      </c>
    </row>
    <row r="56" spans="1:129" ht="15">
      <c r="A56" s="2" t="s">
        <v>95</v>
      </c>
      <c r="B56" s="2"/>
      <c r="C56" s="2"/>
      <c r="D56" s="2"/>
      <c r="E56" s="2"/>
      <c r="F56" s="2"/>
      <c r="G56" s="30">
        <f t="shared" ref="G56:CD56" si="6">G54</f>
        <v>1.6335E-3</v>
      </c>
      <c r="H56" s="8">
        <f t="shared" si="6"/>
        <v>1.815E-3</v>
      </c>
      <c r="I56" s="8">
        <f t="shared" si="6"/>
        <v>5.6264000000000002E-3</v>
      </c>
      <c r="J56" s="8">
        <f t="shared" si="6"/>
        <v>5.6264000000000002E-3</v>
      </c>
      <c r="K56" s="30"/>
      <c r="L56" s="8"/>
      <c r="M56" s="8"/>
      <c r="N56" s="8"/>
      <c r="O56" s="30"/>
      <c r="P56" s="8"/>
      <c r="Q56" s="8"/>
      <c r="R56" s="8"/>
      <c r="S56" s="30"/>
      <c r="T56" s="8"/>
      <c r="U56" s="8"/>
      <c r="V56" s="8"/>
      <c r="W56" s="30">
        <f t="shared" si="6"/>
        <v>5.4836600000000004E-3</v>
      </c>
      <c r="X56" s="8">
        <f t="shared" si="6"/>
        <v>5.4836600000000004E-3</v>
      </c>
      <c r="Y56" s="8">
        <f t="shared" si="6"/>
        <v>5.4836600000000004E-3</v>
      </c>
      <c r="Z56" s="8">
        <f t="shared" si="6"/>
        <v>5.4836600000000004E-3</v>
      </c>
      <c r="AA56" s="30">
        <f t="shared" si="6"/>
        <v>6.4818600000000007E-3</v>
      </c>
      <c r="AB56" s="8">
        <f t="shared" si="6"/>
        <v>5.4836600000000004E-3</v>
      </c>
      <c r="AC56" s="8">
        <f t="shared" si="6"/>
        <v>3.4872600000000007E-3</v>
      </c>
      <c r="AD56" s="8">
        <f t="shared" si="6"/>
        <v>3.4872600000000007E-3</v>
      </c>
      <c r="AE56" s="30">
        <f t="shared" si="6"/>
        <v>2.4890600000000004E-3</v>
      </c>
      <c r="AF56" s="8">
        <f t="shared" si="6"/>
        <v>2.4890600000000004E-3</v>
      </c>
      <c r="AG56" s="8">
        <f t="shared" si="6"/>
        <v>2.4890600000000004E-3</v>
      </c>
      <c r="AH56" s="8">
        <f t="shared" si="6"/>
        <v>2.4890600000000004E-3</v>
      </c>
      <c r="AI56" s="30">
        <f t="shared" si="6"/>
        <v>2.4890600000000004E-3</v>
      </c>
      <c r="AJ56" s="8">
        <f t="shared" si="6"/>
        <v>2.4890600000000004E-3</v>
      </c>
      <c r="AK56" s="8">
        <f t="shared" si="6"/>
        <v>1.9057000000000002E-3</v>
      </c>
      <c r="AL56" s="8">
        <f t="shared" si="6"/>
        <v>1.9057000000000002E-3</v>
      </c>
      <c r="AM56" s="30">
        <f t="shared" si="6"/>
        <v>1.9057000000000002E-3</v>
      </c>
      <c r="AN56" s="8">
        <f t="shared" si="6"/>
        <v>1.9057000000000002E-3</v>
      </c>
      <c r="AO56" s="8">
        <f t="shared" si="6"/>
        <v>1.9057000000000002E-3</v>
      </c>
      <c r="AP56" s="8">
        <f t="shared" si="6"/>
        <v>1.9057000000000002E-3</v>
      </c>
      <c r="AQ56" s="30">
        <f t="shared" si="6"/>
        <v>1.9057000000000002E-3</v>
      </c>
      <c r="AR56" s="8">
        <f t="shared" si="6"/>
        <v>1.9057000000000002E-3</v>
      </c>
      <c r="AS56" s="8">
        <f t="shared" si="6"/>
        <v>1.9057000000000002E-3</v>
      </c>
      <c r="AT56" s="8">
        <f t="shared" si="6"/>
        <v>1.9057000000000002E-3</v>
      </c>
      <c r="AU56" s="30">
        <f t="shared" si="6"/>
        <v>1.9057000000000002E-3</v>
      </c>
      <c r="AV56" s="8">
        <f t="shared" si="6"/>
        <v>1.9057000000000002E-3</v>
      </c>
      <c r="AW56" s="8">
        <f t="shared" si="6"/>
        <v>1.9057000000000002E-3</v>
      </c>
      <c r="AX56" s="8">
        <f t="shared" si="6"/>
        <v>1.9057000000000002E-3</v>
      </c>
      <c r="AY56" s="30">
        <f t="shared" si="6"/>
        <v>3.9021000000000004E-3</v>
      </c>
      <c r="AZ56" s="8">
        <f t="shared" si="6"/>
        <v>3.9021000000000004E-3</v>
      </c>
      <c r="BA56" s="8">
        <f t="shared" si="6"/>
        <v>3.9021000000000004E-3</v>
      </c>
      <c r="BB56" s="8">
        <f t="shared" si="6"/>
        <v>3.9021000000000004E-3</v>
      </c>
      <c r="BC56" s="30">
        <f t="shared" si="6"/>
        <v>5.898500000000001E-3</v>
      </c>
      <c r="BD56" s="8">
        <f t="shared" si="6"/>
        <v>5.898500000000001E-3</v>
      </c>
      <c r="BE56" s="8">
        <f t="shared" si="6"/>
        <v>5.898500000000001E-3</v>
      </c>
      <c r="BF56" s="8">
        <f t="shared" si="6"/>
        <v>5.898500000000001E-3</v>
      </c>
      <c r="BG56" s="30">
        <f t="shared" si="6"/>
        <v>8.893100000000001E-3</v>
      </c>
      <c r="BH56" s="8">
        <f t="shared" si="6"/>
        <v>8.893100000000001E-3</v>
      </c>
      <c r="BI56" s="8">
        <f t="shared" si="6"/>
        <v>1.08895E-2</v>
      </c>
      <c r="BJ56" s="8">
        <f t="shared" si="6"/>
        <v>1.08895E-2</v>
      </c>
      <c r="BK56" s="30">
        <f t="shared" si="6"/>
        <v>1.08895E-2</v>
      </c>
      <c r="BL56" s="8">
        <f t="shared" si="6"/>
        <v>1.08895E-2</v>
      </c>
      <c r="BM56" s="8">
        <f t="shared" si="6"/>
        <v>1.08895E-2</v>
      </c>
      <c r="BN56" s="8">
        <f t="shared" si="6"/>
        <v>1.08895E-2</v>
      </c>
      <c r="BO56" s="30">
        <f t="shared" si="6"/>
        <v>1.7876900000000001E-2</v>
      </c>
      <c r="BP56" s="8">
        <f t="shared" si="6"/>
        <v>1.7876900000000001E-2</v>
      </c>
      <c r="BQ56" s="8">
        <f t="shared" si="6"/>
        <v>1.9873300000000003E-2</v>
      </c>
      <c r="BR56" s="8">
        <f t="shared" si="6"/>
        <v>1.9873300000000003E-2</v>
      </c>
      <c r="BS56" s="30">
        <f t="shared" si="6"/>
        <v>2.0871500000000005E-2</v>
      </c>
      <c r="BT56" s="8">
        <f t="shared" si="6"/>
        <v>2.0871500000000005E-2</v>
      </c>
      <c r="BU56" s="8">
        <f t="shared" si="6"/>
        <v>1.8875100000000002E-2</v>
      </c>
      <c r="BV56" s="8">
        <f t="shared" si="6"/>
        <v>1.8875100000000002E-2</v>
      </c>
      <c r="BW56" s="30">
        <f t="shared" si="6"/>
        <v>1.7876900000000001E-2</v>
      </c>
      <c r="BX56" s="8">
        <f t="shared" si="6"/>
        <v>1.7876900000000001E-2</v>
      </c>
      <c r="BY56" s="8">
        <f t="shared" si="6"/>
        <v>1.5880499999999999E-2</v>
      </c>
      <c r="BZ56" s="8">
        <f t="shared" si="6"/>
        <v>1.5880499999999999E-2</v>
      </c>
      <c r="CA56" s="30">
        <f t="shared" si="6"/>
        <v>1.4882299999999998E-2</v>
      </c>
      <c r="CB56" s="8">
        <f t="shared" si="6"/>
        <v>1.4882299999999998E-2</v>
      </c>
      <c r="CC56" s="8">
        <f t="shared" si="6"/>
        <v>9.8913000000000004E-3</v>
      </c>
      <c r="CD56" s="8">
        <f t="shared" si="6"/>
        <v>9.8913000000000004E-3</v>
      </c>
      <c r="CE56" s="30">
        <f t="shared" ref="CE56:CT56" si="7">CE54</f>
        <v>9.8913000000000004E-3</v>
      </c>
      <c r="CF56" s="8">
        <f t="shared" si="7"/>
        <v>9.8913000000000004E-3</v>
      </c>
      <c r="CG56" s="8">
        <f t="shared" si="7"/>
        <v>9.8913000000000004E-3</v>
      </c>
      <c r="CH56" s="8">
        <f t="shared" si="7"/>
        <v>9.8913000000000004E-3</v>
      </c>
      <c r="CI56" s="30">
        <f t="shared" si="7"/>
        <v>1.1978399999999998E-2</v>
      </c>
      <c r="CJ56" s="8">
        <f t="shared" si="7"/>
        <v>1.1978399999999998E-2</v>
      </c>
      <c r="CK56" s="8">
        <f t="shared" si="7"/>
        <v>1.1978399999999998E-2</v>
      </c>
      <c r="CL56" s="8">
        <f t="shared" si="7"/>
        <v>1.1978399999999998E-2</v>
      </c>
      <c r="CM56" s="30">
        <f t="shared" si="7"/>
        <v>7.9856000000000007E-3</v>
      </c>
      <c r="CN56" s="8">
        <f t="shared" si="7"/>
        <v>7.9856000000000007E-3</v>
      </c>
      <c r="CO56" s="8">
        <f t="shared" si="7"/>
        <v>7.9856000000000007E-3</v>
      </c>
      <c r="CP56" s="8">
        <f t="shared" si="7"/>
        <v>7.9856000000000007E-3</v>
      </c>
      <c r="CQ56" s="30">
        <f t="shared" si="7"/>
        <v>5.9892000000000009E-3</v>
      </c>
      <c r="CR56" s="8">
        <f t="shared" si="7"/>
        <v>5.9892000000000009E-3</v>
      </c>
      <c r="CS56" s="8">
        <f t="shared" si="7"/>
        <v>5.9892000000000009E-3</v>
      </c>
      <c r="CT56" s="8">
        <f t="shared" si="7"/>
        <v>5.9892000000000009E-3</v>
      </c>
      <c r="CU56" s="30"/>
      <c r="CV56" s="8"/>
      <c r="CW56" s="8"/>
      <c r="CX56" s="8"/>
      <c r="CY56" s="30"/>
      <c r="CZ56" s="8"/>
      <c r="DA56" s="8"/>
      <c r="DB56" s="8"/>
      <c r="DC56" s="30"/>
      <c r="DD56" s="8"/>
      <c r="DE56" s="8"/>
      <c r="DF56" s="8"/>
      <c r="DG56" s="30"/>
      <c r="DH56" s="8"/>
      <c r="DI56" s="8"/>
      <c r="DJ56" s="8"/>
      <c r="DK56" s="30"/>
      <c r="DL56" s="8"/>
      <c r="DM56" s="8"/>
      <c r="DN56" s="8"/>
      <c r="DO56" s="30"/>
      <c r="DP56" s="8"/>
      <c r="DQ56" s="8"/>
      <c r="DR56" s="8"/>
      <c r="DS56" s="30"/>
      <c r="DT56" s="8"/>
      <c r="DU56" s="8"/>
      <c r="DV56" s="8"/>
    </row>
    <row r="57" spans="1:129" ht="15">
      <c r="A57" s="2" t="s">
        <v>94</v>
      </c>
      <c r="B57" s="2"/>
      <c r="C57" s="2"/>
      <c r="D57" s="2"/>
      <c r="E57" s="2"/>
      <c r="F57" s="2"/>
      <c r="G57" s="30">
        <f>SUM($G$56:G$56)</f>
        <v>1.6335E-3</v>
      </c>
      <c r="H57" s="8">
        <f>SUM($G$56:H$56)</f>
        <v>3.4485000000000002E-3</v>
      </c>
      <c r="I57" s="8">
        <f>SUM($G$56:I$56)</f>
        <v>9.0749000000000003E-3</v>
      </c>
      <c r="J57" s="8">
        <f>SUM($G$56:J$56)</f>
        <v>1.47013E-2</v>
      </c>
      <c r="K57" s="30"/>
      <c r="L57" s="8"/>
      <c r="M57" s="8"/>
      <c r="N57" s="8"/>
      <c r="O57" s="30"/>
      <c r="P57" s="8"/>
      <c r="Q57" s="8"/>
      <c r="R57" s="8"/>
      <c r="S57" s="30"/>
      <c r="T57" s="8"/>
      <c r="U57" s="8"/>
      <c r="V57" s="8"/>
      <c r="W57" s="30">
        <f>SUM($G$56:W$56)</f>
        <v>2.0184960000000002E-2</v>
      </c>
      <c r="X57" s="8">
        <f>SUM($G$56:X$56)</f>
        <v>2.5668620000000003E-2</v>
      </c>
      <c r="Y57" s="8">
        <f>SUM($G$56:Y$56)</f>
        <v>3.1152280000000004E-2</v>
      </c>
      <c r="Z57" s="8">
        <f>SUM($G$56:Z$56)</f>
        <v>3.6635940000000006E-2</v>
      </c>
      <c r="AA57" s="30">
        <f>SUM($G$56:AA$56)</f>
        <v>4.3117800000000005E-2</v>
      </c>
      <c r="AB57" s="8">
        <f>SUM($G$56:AB$56)</f>
        <v>4.8601460000000006E-2</v>
      </c>
      <c r="AC57" s="8">
        <f>SUM($G$56:AC$56)</f>
        <v>5.2088720000000005E-2</v>
      </c>
      <c r="AD57" s="8">
        <f>SUM($G$56:AD$56)</f>
        <v>5.5575980000000004E-2</v>
      </c>
      <c r="AE57" s="30">
        <f>SUM($G$56:AE$56)</f>
        <v>5.8065040000000005E-2</v>
      </c>
      <c r="AF57" s="8">
        <f>SUM($G$56:AF$56)</f>
        <v>6.0554100000000007E-2</v>
      </c>
      <c r="AG57" s="8">
        <f>SUM($G$56:AG$56)</f>
        <v>6.3043160000000001E-2</v>
      </c>
      <c r="AH57" s="8">
        <f>SUM($G$56:AH$56)</f>
        <v>6.5532220000000002E-2</v>
      </c>
      <c r="AI57" s="30">
        <f>SUM($G$56:AI$56)</f>
        <v>6.8021280000000003E-2</v>
      </c>
      <c r="AJ57" s="8">
        <f>SUM($G$56:AJ$56)</f>
        <v>7.0510340000000005E-2</v>
      </c>
      <c r="AK57" s="8">
        <f>SUM($G$56:AK$56)</f>
        <v>7.2416040000000001E-2</v>
      </c>
      <c r="AL57" s="8">
        <f>SUM($G$56:AL$56)</f>
        <v>7.4321739999999997E-2</v>
      </c>
      <c r="AM57" s="30">
        <f>SUM($G$56:AM$56)</f>
        <v>7.6227439999999994E-2</v>
      </c>
      <c r="AN57" s="8">
        <f>SUM($G$56:AN$56)</f>
        <v>7.813313999999999E-2</v>
      </c>
      <c r="AO57" s="8">
        <f>SUM($G$56:AO$56)</f>
        <v>8.0038839999999986E-2</v>
      </c>
      <c r="AP57" s="8">
        <f>SUM($G$56:AP$56)</f>
        <v>8.1944539999999982E-2</v>
      </c>
      <c r="AQ57" s="30">
        <f>SUM($G$56:AQ$56)</f>
        <v>8.3850239999999979E-2</v>
      </c>
      <c r="AR57" s="8">
        <f>SUM($G$56:AR$56)</f>
        <v>8.5755939999999975E-2</v>
      </c>
      <c r="AS57" s="8">
        <f>SUM($G$56:AS$56)</f>
        <v>8.7661639999999971E-2</v>
      </c>
      <c r="AT57" s="8">
        <f>SUM($G$56:AT$56)</f>
        <v>8.9567339999999968E-2</v>
      </c>
      <c r="AU57" s="30">
        <f>SUM($G$56:AU$56)</f>
        <v>9.1473039999999964E-2</v>
      </c>
      <c r="AV57" s="8">
        <f>SUM($G$56:AV$56)</f>
        <v>9.337873999999996E-2</v>
      </c>
      <c r="AW57" s="8">
        <f>SUM($G$56:AW$56)</f>
        <v>9.5284439999999956E-2</v>
      </c>
      <c r="AX57" s="8">
        <f>SUM($G$56:AX$56)</f>
        <v>9.7190139999999953E-2</v>
      </c>
      <c r="AY57" s="30">
        <f>SUM($G$56:AY$56)</f>
        <v>0.10109223999999996</v>
      </c>
      <c r="AZ57" s="8">
        <f>SUM($G$56:AZ$56)</f>
        <v>0.10499433999999996</v>
      </c>
      <c r="BA57" s="8">
        <f>SUM($G$56:BA$56)</f>
        <v>0.10889643999999997</v>
      </c>
      <c r="BB57" s="8">
        <f>SUM($G$56:BB$56)</f>
        <v>0.11279853999999997</v>
      </c>
      <c r="BC57" s="30">
        <f>SUM($G$56:BC$56)</f>
        <v>0.11869703999999998</v>
      </c>
      <c r="BD57" s="8">
        <f>SUM($G$56:BD$56)</f>
        <v>0.12459553999999998</v>
      </c>
      <c r="BE57" s="8">
        <f>SUM($G$56:BE$56)</f>
        <v>0.13049403999999998</v>
      </c>
      <c r="BF57" s="8">
        <f>SUM($G$56:BF$56)</f>
        <v>0.13639253999999998</v>
      </c>
      <c r="BG57" s="30">
        <f>SUM($G$56:BG$56)</f>
        <v>0.14528563999999999</v>
      </c>
      <c r="BH57" s="8">
        <f>SUM($G$56:BH$56)</f>
        <v>0.15417873999999998</v>
      </c>
      <c r="BI57" s="8">
        <f>SUM($G$56:BI$56)</f>
        <v>0.16506823999999998</v>
      </c>
      <c r="BJ57" s="8">
        <f>SUM($G$56:BJ$56)</f>
        <v>0.17595773999999997</v>
      </c>
      <c r="BK57" s="30">
        <f>SUM($G$56:BK$56)</f>
        <v>0.18684723999999997</v>
      </c>
      <c r="BL57" s="8">
        <f>SUM($G$56:BL$56)</f>
        <v>0.19773673999999997</v>
      </c>
      <c r="BM57" s="8">
        <f>SUM($G$56:BM$56)</f>
        <v>0.20862623999999996</v>
      </c>
      <c r="BN57" s="8">
        <f>SUM($G$56:BN$56)</f>
        <v>0.21951573999999996</v>
      </c>
      <c r="BO57" s="30">
        <f>SUM($G$56:BO$56)</f>
        <v>0.23739263999999996</v>
      </c>
      <c r="BP57" s="8">
        <f>SUM($G$56:BP$56)</f>
        <v>0.25526953999999996</v>
      </c>
      <c r="BQ57" s="8">
        <f>SUM($G$56:BQ$56)</f>
        <v>0.27514283999999994</v>
      </c>
      <c r="BR57" s="8">
        <f>SUM($G$56:BR$56)</f>
        <v>0.29501613999999993</v>
      </c>
      <c r="BS57" s="30">
        <f>SUM($G$56:BS$56)</f>
        <v>0.31588763999999991</v>
      </c>
      <c r="BT57" s="8">
        <f>SUM($G$56:BT$56)</f>
        <v>0.3367591399999999</v>
      </c>
      <c r="BU57" s="8">
        <f>SUM($G$56:BU$56)</f>
        <v>0.35563423999999988</v>
      </c>
      <c r="BV57" s="8">
        <f>SUM($G$56:BV$56)</f>
        <v>0.37450933999999986</v>
      </c>
      <c r="BW57" s="30">
        <f>SUM($G$56:BW$56)</f>
        <v>0.39238623999999989</v>
      </c>
      <c r="BX57" s="8">
        <f>SUM($G$56:BX$56)</f>
        <v>0.41026313999999986</v>
      </c>
      <c r="BY57" s="8">
        <f>SUM($G$56:BY$56)</f>
        <v>0.42614363999999988</v>
      </c>
      <c r="BZ57" s="8">
        <f>SUM($G$56:BZ$56)</f>
        <v>0.4420241399999999</v>
      </c>
      <c r="CA57" s="30">
        <f>SUM($G$56:CA$56)</f>
        <v>0.45690643999999991</v>
      </c>
      <c r="CB57" s="8">
        <f>SUM($G$56:CB$56)</f>
        <v>0.47178873999999993</v>
      </c>
      <c r="CC57" s="8">
        <f>SUM($G$56:CC$56)</f>
        <v>0.48168003999999992</v>
      </c>
      <c r="CD57" s="8">
        <f>SUM($G$56:CD$56)</f>
        <v>0.49157133999999991</v>
      </c>
      <c r="CE57" s="30">
        <f>SUM($G$56:CE$56)</f>
        <v>0.50146263999999996</v>
      </c>
      <c r="CF57" s="8">
        <f>SUM($G$56:CF$56)</f>
        <v>0.51135394000000001</v>
      </c>
      <c r="CG57" s="8">
        <f>SUM($G$56:CG$56)</f>
        <v>0.52124524000000005</v>
      </c>
      <c r="CH57" s="8">
        <f>SUM($G$56:CH$56)</f>
        <v>0.5311365400000001</v>
      </c>
      <c r="CI57" s="30">
        <f>SUM($G$56:CI$56)</f>
        <v>0.54311494000000005</v>
      </c>
      <c r="CJ57" s="8">
        <f>SUM($G$56:CJ$56)</f>
        <v>0.55509333999999999</v>
      </c>
      <c r="CK57" s="8">
        <f>SUM($G$56:CK$56)</f>
        <v>0.56707173999999994</v>
      </c>
      <c r="CL57" s="8">
        <f>SUM($G$56:CL$56)</f>
        <v>0.57905013999999988</v>
      </c>
      <c r="CM57" s="30">
        <f>SUM($G$56:CM$56)</f>
        <v>0.58703573999999992</v>
      </c>
      <c r="CN57" s="8">
        <f>SUM($G$56:CN$56)</f>
        <v>0.59502133999999995</v>
      </c>
      <c r="CO57" s="8">
        <f>SUM($G$56:CO$56)</f>
        <v>0.60300693999999999</v>
      </c>
      <c r="CP57" s="8">
        <f>SUM($G$56:CP$56)</f>
        <v>0.61099254000000003</v>
      </c>
      <c r="CQ57" s="30">
        <f>SUM($G$56:CQ$56)</f>
        <v>0.61698174000000006</v>
      </c>
      <c r="CR57" s="8">
        <f>SUM($G$56:CR$56)</f>
        <v>0.62297094000000008</v>
      </c>
      <c r="CS57" s="8">
        <f>SUM($G$56:CS$56)</f>
        <v>0.62896014000000011</v>
      </c>
      <c r="CT57" s="8">
        <f>SUM($G$56:CT$56)</f>
        <v>0.63494934000000014</v>
      </c>
      <c r="CU57" s="30"/>
      <c r="CV57" s="8"/>
      <c r="CW57" s="8"/>
      <c r="CX57" s="8"/>
      <c r="CY57" s="30"/>
      <c r="CZ57" s="8"/>
      <c r="DA57" s="8"/>
      <c r="DB57" s="8"/>
      <c r="DC57" s="30"/>
      <c r="DD57" s="8"/>
      <c r="DE57" s="8"/>
      <c r="DF57" s="8"/>
      <c r="DG57" s="30"/>
      <c r="DH57" s="8"/>
      <c r="DI57" s="8"/>
      <c r="DJ57" s="8"/>
      <c r="DK57" s="30"/>
      <c r="DL57" s="8"/>
      <c r="DM57" s="8"/>
      <c r="DN57" s="8"/>
      <c r="DO57" s="30"/>
      <c r="DP57" s="8"/>
      <c r="DQ57" s="8"/>
      <c r="DR57" s="8"/>
      <c r="DS57" s="30"/>
      <c r="DT57" s="8"/>
      <c r="DU57" s="8"/>
      <c r="DV57" s="8"/>
    </row>
  </sheetData>
  <mergeCells count="34">
    <mergeCell ref="AI6:AL6"/>
    <mergeCell ref="A1:E1"/>
    <mergeCell ref="A2:E2"/>
    <mergeCell ref="A3:E3"/>
    <mergeCell ref="A4:E4"/>
    <mergeCell ref="G6:J6"/>
    <mergeCell ref="K6:N6"/>
    <mergeCell ref="O6:R6"/>
    <mergeCell ref="S6:V6"/>
    <mergeCell ref="W6:Z6"/>
    <mergeCell ref="AA6:AD6"/>
    <mergeCell ref="AE6:AH6"/>
    <mergeCell ref="CE6:CH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DG6:DJ6"/>
    <mergeCell ref="DK6:DN6"/>
    <mergeCell ref="DO6:DR6"/>
    <mergeCell ref="DS6:DV6"/>
    <mergeCell ref="CI6:CL6"/>
    <mergeCell ref="CM6:CP6"/>
    <mergeCell ref="CQ6:CT6"/>
    <mergeCell ref="CU6:CX6"/>
    <mergeCell ref="CY6:DB6"/>
    <mergeCell ref="DC6:DF6"/>
  </mergeCells>
  <phoneticPr fontId="13" type="noConversion"/>
  <conditionalFormatting sqref="F9:CI18 CV9:DV21 F19:AH19 AM19:CI19 F20:AP20 AY20:CI20 F21:CI21 F22:AT30 BG22:CM30 CZ22:DV30 BG31:CX32 DI31:DV32 G31:BB37 BG33:DB33 DG33:DJ33 DM33:DV33 BG34:BN34 BS34:CX34 DI34:DV34 BG35:DV35 BG36:CX36 DG36:DV36 BG37:DV37 G38:AI43 AY38:DV43 G44:DV44 G45:CM45 DD45:DV45 G46:CL48 DC46:DV48 CI49:DV49 G49:CD50 CY50:DV50 G51:DV52">
    <cfRule type="expression" dxfId="3" priority="1">
      <formula>F9&gt;0</formula>
    </cfRule>
  </conditionalFormatting>
  <conditionalFormatting sqref="G57:DV57">
    <cfRule type="dataBar" priority="3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{4EB79677-8568-48FE-92DD-5D18F6E93C8E}</x14:id>
        </ext>
      </extLst>
    </cfRule>
  </conditionalFormatting>
  <conditionalFormatting sqref="DX9:DX53">
    <cfRule type="expression" dxfId="2" priority="2">
      <formula>DX9&lt;&gt;"OK"</formula>
    </cfRule>
  </conditionalFormatting>
  <pageMargins left="0.69999998807907104" right="0.69999998807907104" top="0.75" bottom="0.75" header="0.30000001192092896" footer="0.30000001192092896"/>
  <pageSetup paperSize="9" fitToWidth="0" fitToHeight="0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B79677-8568-48FE-92DD-5D18F6E93C8E}">
            <x14:dataBar direction="leftToRight">
              <x14:cfvo type="min"/>
              <x14:cfvo type="max"/>
              <x14:negativeFillColor auto="1"/>
              <x14:axisColor auto="1"/>
            </x14:dataBar>
          </x14:cfRule>
          <xm:sqref>G57:DV57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9691-FD53-420C-BCFD-034B99DCBFB2}">
  <dimension ref="A1:DY57"/>
  <sheetViews>
    <sheetView topLeftCell="V3" zoomScale="85" zoomScaleNormal="85" zoomScaleSheetLayoutView="80" workbookViewId="0">
      <selection activeCell="AX19" sqref="AX19"/>
    </sheetView>
  </sheetViews>
  <sheetFormatPr defaultColWidth="8.75" defaultRowHeight="14.25"/>
  <cols>
    <col min="1" max="1" width="13" customWidth="1"/>
    <col min="2" max="2" width="26" customWidth="1"/>
    <col min="3" max="3" width="15" customWidth="1"/>
    <col min="4" max="4" width="8" customWidth="1"/>
    <col min="5" max="6" width="18" customWidth="1"/>
    <col min="7" max="126" width="4" customWidth="1"/>
    <col min="127" max="129" width="12" customWidth="1"/>
  </cols>
  <sheetData>
    <row r="1" spans="1:129" ht="26.1" customHeight="1">
      <c r="A1" s="39" t="s">
        <v>1</v>
      </c>
      <c r="B1" s="39"/>
      <c r="C1" s="39"/>
      <c r="D1" s="39"/>
      <c r="E1" s="39"/>
      <c r="F1" s="18"/>
    </row>
    <row r="2" spans="1:129">
      <c r="A2" s="40" t="s">
        <v>110</v>
      </c>
      <c r="B2" s="40"/>
      <c r="C2" s="40"/>
      <c r="D2" s="40"/>
      <c r="E2" s="40"/>
      <c r="F2" s="19"/>
    </row>
    <row r="3" spans="1:129">
      <c r="A3" s="40" t="s">
        <v>200</v>
      </c>
      <c r="B3" s="40"/>
      <c r="C3" s="40"/>
      <c r="D3" s="40"/>
      <c r="E3" s="40"/>
      <c r="F3" s="19"/>
    </row>
    <row r="4" spans="1:129">
      <c r="A4" s="40" t="s">
        <v>0</v>
      </c>
      <c r="B4" s="40"/>
      <c r="C4" s="40"/>
      <c r="D4" s="40"/>
      <c r="E4" s="40"/>
      <c r="F4" s="19"/>
    </row>
    <row r="6" spans="1:129" ht="21.95" customHeight="1">
      <c r="A6" s="9" t="s">
        <v>66</v>
      </c>
      <c r="B6" s="9" t="s">
        <v>64</v>
      </c>
      <c r="C6" s="9" t="s">
        <v>16</v>
      </c>
      <c r="D6" s="9" t="s">
        <v>60</v>
      </c>
      <c r="E6" s="9" t="s">
        <v>59</v>
      </c>
      <c r="F6" s="9"/>
      <c r="G6" s="38" t="s">
        <v>201</v>
      </c>
      <c r="H6" s="38"/>
      <c r="I6" s="38"/>
      <c r="J6" s="38"/>
      <c r="K6" s="38" t="s">
        <v>130</v>
      </c>
      <c r="L6" s="38"/>
      <c r="M6" s="38"/>
      <c r="N6" s="38"/>
      <c r="O6" s="38" t="s">
        <v>129</v>
      </c>
      <c r="P6" s="38"/>
      <c r="Q6" s="38"/>
      <c r="R6" s="38"/>
      <c r="S6" s="38" t="s">
        <v>96</v>
      </c>
      <c r="T6" s="38"/>
      <c r="U6" s="38"/>
      <c r="V6" s="38"/>
      <c r="W6" s="38" t="s">
        <v>97</v>
      </c>
      <c r="X6" s="38"/>
      <c r="Y6" s="38"/>
      <c r="Z6" s="38"/>
      <c r="AA6" s="38" t="s">
        <v>98</v>
      </c>
      <c r="AB6" s="38"/>
      <c r="AC6" s="38"/>
      <c r="AD6" s="38"/>
      <c r="AE6" s="38" t="s">
        <v>99</v>
      </c>
      <c r="AF6" s="38"/>
      <c r="AG6" s="38"/>
      <c r="AH6" s="38"/>
      <c r="AI6" s="38" t="s">
        <v>100</v>
      </c>
      <c r="AJ6" s="38"/>
      <c r="AK6" s="38"/>
      <c r="AL6" s="38"/>
      <c r="AM6" s="38" t="s">
        <v>101</v>
      </c>
      <c r="AN6" s="38"/>
      <c r="AO6" s="38"/>
      <c r="AP6" s="38"/>
      <c r="AQ6" s="38" t="s">
        <v>102</v>
      </c>
      <c r="AR6" s="38"/>
      <c r="AS6" s="38"/>
      <c r="AT6" s="38"/>
      <c r="AU6" s="38" t="s">
        <v>103</v>
      </c>
      <c r="AV6" s="38"/>
      <c r="AW6" s="38"/>
      <c r="AX6" s="38"/>
      <c r="AY6" s="38" t="s">
        <v>104</v>
      </c>
      <c r="AZ6" s="38"/>
      <c r="BA6" s="38"/>
      <c r="BB6" s="38"/>
      <c r="BC6" s="38" t="s">
        <v>105</v>
      </c>
      <c r="BD6" s="38"/>
      <c r="BE6" s="38"/>
      <c r="BF6" s="38"/>
      <c r="BG6" s="38" t="s">
        <v>106</v>
      </c>
      <c r="BH6" s="38"/>
      <c r="BI6" s="38"/>
      <c r="BJ6" s="38"/>
      <c r="BK6" s="38" t="s">
        <v>107</v>
      </c>
      <c r="BL6" s="38"/>
      <c r="BM6" s="38"/>
      <c r="BN6" s="38"/>
      <c r="BO6" s="38" t="s">
        <v>69</v>
      </c>
      <c r="BP6" s="38"/>
      <c r="BQ6" s="38"/>
      <c r="BR6" s="38"/>
      <c r="BS6" s="38" t="s">
        <v>72</v>
      </c>
      <c r="BT6" s="38"/>
      <c r="BU6" s="38"/>
      <c r="BV6" s="38"/>
      <c r="BW6" s="38" t="s">
        <v>75</v>
      </c>
      <c r="BX6" s="38"/>
      <c r="BY6" s="38"/>
      <c r="BZ6" s="38"/>
      <c r="CA6" s="38" t="s">
        <v>76</v>
      </c>
      <c r="CB6" s="38"/>
      <c r="CC6" s="38"/>
      <c r="CD6" s="38"/>
      <c r="CE6" s="38" t="s">
        <v>74</v>
      </c>
      <c r="CF6" s="38"/>
      <c r="CG6" s="38"/>
      <c r="CH6" s="38"/>
      <c r="CI6" s="38" t="s">
        <v>70</v>
      </c>
      <c r="CJ6" s="38"/>
      <c r="CK6" s="38"/>
      <c r="CL6" s="38"/>
      <c r="CM6" s="38" t="s">
        <v>71</v>
      </c>
      <c r="CN6" s="38"/>
      <c r="CO6" s="38"/>
      <c r="CP6" s="38"/>
      <c r="CQ6" s="38" t="s">
        <v>73</v>
      </c>
      <c r="CR6" s="38"/>
      <c r="CS6" s="38"/>
      <c r="CT6" s="38"/>
      <c r="CU6" s="38" t="s">
        <v>125</v>
      </c>
      <c r="CV6" s="38"/>
      <c r="CW6" s="38"/>
      <c r="CX6" s="38"/>
      <c r="CY6" s="38" t="s">
        <v>126</v>
      </c>
      <c r="CZ6" s="38"/>
      <c r="DA6" s="38"/>
      <c r="DB6" s="38"/>
      <c r="DC6" s="38" t="s">
        <v>127</v>
      </c>
      <c r="DD6" s="38"/>
      <c r="DE6" s="38"/>
      <c r="DF6" s="38"/>
      <c r="DG6" s="38" t="s">
        <v>128</v>
      </c>
      <c r="DH6" s="38"/>
      <c r="DI6" s="38"/>
      <c r="DJ6" s="38"/>
      <c r="DK6" s="38" t="s">
        <v>134</v>
      </c>
      <c r="DL6" s="38"/>
      <c r="DM6" s="38"/>
      <c r="DN6" s="38"/>
      <c r="DO6" s="38" t="s">
        <v>133</v>
      </c>
      <c r="DP6" s="38"/>
      <c r="DQ6" s="38"/>
      <c r="DR6" s="38"/>
      <c r="DS6" s="38" t="s">
        <v>135</v>
      </c>
      <c r="DT6" s="38"/>
      <c r="DU6" s="38"/>
      <c r="DV6" s="38"/>
      <c r="DW6" s="9" t="s">
        <v>62</v>
      </c>
      <c r="DX6" s="9" t="s">
        <v>65</v>
      </c>
      <c r="DY6" s="9" t="s">
        <v>18</v>
      </c>
    </row>
    <row r="7" spans="1:129" ht="21.95" customHeight="1">
      <c r="A7" s="10"/>
      <c r="B7" s="10"/>
      <c r="C7" s="10"/>
      <c r="D7" s="10"/>
      <c r="E7" s="10"/>
      <c r="F7" s="10"/>
      <c r="G7" s="11" t="s">
        <v>67</v>
      </c>
      <c r="H7" s="11" t="s">
        <v>58</v>
      </c>
      <c r="I7" s="11" t="s">
        <v>63</v>
      </c>
      <c r="J7" s="11" t="s">
        <v>61</v>
      </c>
      <c r="K7" s="11" t="s">
        <v>67</v>
      </c>
      <c r="L7" s="11" t="s">
        <v>58</v>
      </c>
      <c r="M7" s="11" t="s">
        <v>63</v>
      </c>
      <c r="N7" s="11" t="s">
        <v>61</v>
      </c>
      <c r="O7" s="11" t="s">
        <v>67</v>
      </c>
      <c r="P7" s="11" t="s">
        <v>58</v>
      </c>
      <c r="Q7" s="11" t="s">
        <v>63</v>
      </c>
      <c r="R7" s="11" t="s">
        <v>61</v>
      </c>
      <c r="S7" s="11" t="s">
        <v>67</v>
      </c>
      <c r="T7" s="11" t="s">
        <v>58</v>
      </c>
      <c r="U7" s="11" t="s">
        <v>63</v>
      </c>
      <c r="V7" s="11" t="s">
        <v>61</v>
      </c>
      <c r="W7" s="11" t="s">
        <v>67</v>
      </c>
      <c r="X7" s="11" t="s">
        <v>58</v>
      </c>
      <c r="Y7" s="11" t="s">
        <v>63</v>
      </c>
      <c r="Z7" s="11" t="s">
        <v>61</v>
      </c>
      <c r="AA7" s="11" t="s">
        <v>67</v>
      </c>
      <c r="AB7" s="11" t="s">
        <v>58</v>
      </c>
      <c r="AC7" s="11" t="s">
        <v>63</v>
      </c>
      <c r="AD7" s="11" t="s">
        <v>61</v>
      </c>
      <c r="AE7" s="11" t="s">
        <v>67</v>
      </c>
      <c r="AF7" s="11" t="s">
        <v>58</v>
      </c>
      <c r="AG7" s="11" t="s">
        <v>63</v>
      </c>
      <c r="AH7" s="11" t="s">
        <v>61</v>
      </c>
      <c r="AI7" s="11" t="s">
        <v>67</v>
      </c>
      <c r="AJ7" s="11" t="s">
        <v>58</v>
      </c>
      <c r="AK7" s="11" t="s">
        <v>63</v>
      </c>
      <c r="AL7" s="11" t="s">
        <v>61</v>
      </c>
      <c r="AM7" s="11" t="s">
        <v>67</v>
      </c>
      <c r="AN7" s="11" t="s">
        <v>58</v>
      </c>
      <c r="AO7" s="11" t="s">
        <v>63</v>
      </c>
      <c r="AP7" s="11" t="s">
        <v>61</v>
      </c>
      <c r="AQ7" s="11" t="s">
        <v>67</v>
      </c>
      <c r="AR7" s="11" t="s">
        <v>58</v>
      </c>
      <c r="AS7" s="11" t="s">
        <v>63</v>
      </c>
      <c r="AT7" s="11" t="s">
        <v>61</v>
      </c>
      <c r="AU7" s="11" t="s">
        <v>67</v>
      </c>
      <c r="AV7" s="11" t="s">
        <v>58</v>
      </c>
      <c r="AW7" s="11" t="s">
        <v>63</v>
      </c>
      <c r="AX7" s="11" t="s">
        <v>61</v>
      </c>
      <c r="AY7" s="11" t="s">
        <v>67</v>
      </c>
      <c r="AZ7" s="11" t="s">
        <v>58</v>
      </c>
      <c r="BA7" s="11" t="s">
        <v>63</v>
      </c>
      <c r="BB7" s="11" t="s">
        <v>61</v>
      </c>
      <c r="BC7" s="11" t="s">
        <v>67</v>
      </c>
      <c r="BD7" s="11" t="s">
        <v>58</v>
      </c>
      <c r="BE7" s="11" t="s">
        <v>63</v>
      </c>
      <c r="BF7" s="11" t="s">
        <v>61</v>
      </c>
      <c r="BG7" s="11" t="s">
        <v>67</v>
      </c>
      <c r="BH7" s="11" t="s">
        <v>58</v>
      </c>
      <c r="BI7" s="11" t="s">
        <v>63</v>
      </c>
      <c r="BJ7" s="11" t="s">
        <v>61</v>
      </c>
      <c r="BK7" s="11" t="s">
        <v>67</v>
      </c>
      <c r="BL7" s="11" t="s">
        <v>58</v>
      </c>
      <c r="BM7" s="11" t="s">
        <v>63</v>
      </c>
      <c r="BN7" s="11" t="s">
        <v>61</v>
      </c>
      <c r="BO7" s="11" t="s">
        <v>67</v>
      </c>
      <c r="BP7" s="11" t="s">
        <v>58</v>
      </c>
      <c r="BQ7" s="11" t="s">
        <v>63</v>
      </c>
      <c r="BR7" s="11" t="s">
        <v>61</v>
      </c>
      <c r="BS7" s="11" t="s">
        <v>67</v>
      </c>
      <c r="BT7" s="11" t="s">
        <v>58</v>
      </c>
      <c r="BU7" s="11" t="s">
        <v>63</v>
      </c>
      <c r="BV7" s="11" t="s">
        <v>61</v>
      </c>
      <c r="BW7" s="11" t="s">
        <v>67</v>
      </c>
      <c r="BX7" s="11" t="s">
        <v>58</v>
      </c>
      <c r="BY7" s="11" t="s">
        <v>63</v>
      </c>
      <c r="BZ7" s="11" t="s">
        <v>61</v>
      </c>
      <c r="CA7" s="11" t="s">
        <v>67</v>
      </c>
      <c r="CB7" s="11" t="s">
        <v>58</v>
      </c>
      <c r="CC7" s="11" t="s">
        <v>63</v>
      </c>
      <c r="CD7" s="11" t="s">
        <v>61</v>
      </c>
      <c r="CE7" s="11" t="s">
        <v>67</v>
      </c>
      <c r="CF7" s="11" t="s">
        <v>58</v>
      </c>
      <c r="CG7" s="11" t="s">
        <v>63</v>
      </c>
      <c r="CH7" s="11" t="s">
        <v>61</v>
      </c>
      <c r="CI7" s="11" t="s">
        <v>67</v>
      </c>
      <c r="CJ7" s="11" t="s">
        <v>58</v>
      </c>
      <c r="CK7" s="11" t="s">
        <v>63</v>
      </c>
      <c r="CL7" s="11" t="s">
        <v>61</v>
      </c>
      <c r="CM7" s="11" t="s">
        <v>67</v>
      </c>
      <c r="CN7" s="11" t="s">
        <v>58</v>
      </c>
      <c r="CO7" s="11" t="s">
        <v>63</v>
      </c>
      <c r="CP7" s="11" t="s">
        <v>61</v>
      </c>
      <c r="CQ7" s="11" t="s">
        <v>67</v>
      </c>
      <c r="CR7" s="11" t="s">
        <v>58</v>
      </c>
      <c r="CS7" s="11" t="s">
        <v>63</v>
      </c>
      <c r="CT7" s="11" t="s">
        <v>61</v>
      </c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9"/>
      <c r="DX7" s="9"/>
      <c r="DY7" s="9"/>
    </row>
    <row r="8" spans="1:129" ht="42" customHeight="1">
      <c r="A8" s="12"/>
      <c r="B8" s="12"/>
      <c r="C8" s="12"/>
      <c r="D8" s="12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0"/>
      <c r="DX8" s="10"/>
      <c r="DY8" s="10"/>
    </row>
    <row r="9" spans="1:129" ht="21.95" customHeight="1">
      <c r="A9" s="14" t="s">
        <v>148</v>
      </c>
      <c r="B9" s="14" t="s">
        <v>202</v>
      </c>
      <c r="C9" s="22">
        <v>3267000000</v>
      </c>
      <c r="D9" s="23">
        <v>7.26E-3</v>
      </c>
      <c r="E9" s="14" t="s">
        <v>17</v>
      </c>
      <c r="F9" s="15"/>
      <c r="G9" s="15">
        <v>9.075E-4</v>
      </c>
      <c r="H9" s="15">
        <v>9.075E-4</v>
      </c>
      <c r="I9" s="15">
        <v>9.075E-4</v>
      </c>
      <c r="J9" s="15">
        <v>9.075E-4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6">
        <f t="shared" ref="DW9:DW21" si="0">SUM(F9:CH9)</f>
        <v>3.63E-3</v>
      </c>
      <c r="DX9" s="17" t="str">
        <f t="shared" ref="DX9:DX52" si="1">IF(ABS(DW9-D9)&lt;0.0001,"OK","확인")</f>
        <v>확인</v>
      </c>
      <c r="DY9" s="17" t="s">
        <v>21</v>
      </c>
    </row>
    <row r="10" spans="1:129" ht="21.95" customHeight="1">
      <c r="A10" s="14" t="s">
        <v>148</v>
      </c>
      <c r="B10" s="14" t="s">
        <v>203</v>
      </c>
      <c r="C10" s="22">
        <v>2858400000</v>
      </c>
      <c r="D10" s="23">
        <v>6.352E-3</v>
      </c>
      <c r="E10" s="14"/>
      <c r="F10" s="15"/>
      <c r="G10" s="15"/>
      <c r="H10" s="15"/>
      <c r="I10" s="15">
        <v>9.075E-4</v>
      </c>
      <c r="J10" s="15">
        <v>9.075E-4</v>
      </c>
      <c r="K10" s="15">
        <v>9.075E-4</v>
      </c>
      <c r="L10" s="15">
        <v>9.075E-4</v>
      </c>
      <c r="M10" s="15">
        <v>9.075E-4</v>
      </c>
      <c r="N10" s="15">
        <v>9.075E-4</v>
      </c>
      <c r="O10" s="15">
        <v>9.075E-4</v>
      </c>
      <c r="P10" s="15">
        <v>9.075E-4</v>
      </c>
      <c r="Q10" s="15">
        <v>9.075E-4</v>
      </c>
      <c r="R10" s="15">
        <v>9.075E-4</v>
      </c>
      <c r="S10" s="15">
        <v>9.075E-4</v>
      </c>
      <c r="T10" s="15">
        <v>9.075E-4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6">
        <f t="shared" si="0"/>
        <v>1.0890000000000002E-2</v>
      </c>
      <c r="DX10" s="17" t="str">
        <f t="shared" si="1"/>
        <v>확인</v>
      </c>
      <c r="DY10" s="17" t="s">
        <v>14</v>
      </c>
    </row>
    <row r="11" spans="1:129" ht="21.95" customHeight="1">
      <c r="A11" s="14" t="s">
        <v>15</v>
      </c>
      <c r="B11" s="14" t="s">
        <v>204</v>
      </c>
      <c r="C11" s="22">
        <v>4083300000</v>
      </c>
      <c r="D11" s="23">
        <v>9.0740000000000005E-3</v>
      </c>
      <c r="E11" s="14" t="s">
        <v>77</v>
      </c>
      <c r="F11" s="15"/>
      <c r="G11" s="15"/>
      <c r="H11" s="15"/>
      <c r="I11" s="15">
        <v>9.075E-4</v>
      </c>
      <c r="J11" s="15">
        <v>9.075E-4</v>
      </c>
      <c r="K11" s="15">
        <v>9.075E-4</v>
      </c>
      <c r="L11" s="15">
        <v>9.075E-4</v>
      </c>
      <c r="M11" s="15">
        <v>9.075E-4</v>
      </c>
      <c r="N11" s="15">
        <v>9.075E-4</v>
      </c>
      <c r="O11" s="15">
        <v>9.075E-4</v>
      </c>
      <c r="P11" s="15">
        <v>9.075E-4</v>
      </c>
      <c r="Q11" s="15">
        <v>9.075E-4</v>
      </c>
      <c r="R11" s="15">
        <v>9.075E-4</v>
      </c>
      <c r="S11" s="15">
        <v>9.075E-4</v>
      </c>
      <c r="T11" s="15">
        <v>9.075E-4</v>
      </c>
      <c r="U11" s="15">
        <v>9.075E-4</v>
      </c>
      <c r="V11" s="15">
        <v>9.075E-4</v>
      </c>
      <c r="W11" s="15">
        <v>9.075E-4</v>
      </c>
      <c r="X11" s="15">
        <v>9.075E-4</v>
      </c>
      <c r="Y11" s="15">
        <v>9.075E-4</v>
      </c>
      <c r="Z11" s="15">
        <v>9.075E-4</v>
      </c>
      <c r="AA11" s="15">
        <v>9.075E-4</v>
      </c>
      <c r="AB11" s="15">
        <v>9.075E-4</v>
      </c>
      <c r="AC11" s="15">
        <v>9.075E-4</v>
      </c>
      <c r="AD11" s="15">
        <v>9.075E-4</v>
      </c>
      <c r="AE11" s="15">
        <v>9.075E-4</v>
      </c>
      <c r="AF11" s="15">
        <v>9.075E-4</v>
      </c>
      <c r="AG11" s="15">
        <v>9.075E-4</v>
      </c>
      <c r="AH11" s="15">
        <v>9.075E-4</v>
      </c>
      <c r="AI11" s="15">
        <v>9.075E-4</v>
      </c>
      <c r="AJ11" s="15">
        <v>9.075E-4</v>
      </c>
      <c r="AK11" s="15">
        <v>9.075E-4</v>
      </c>
      <c r="AL11" s="15">
        <v>9.075E-4</v>
      </c>
      <c r="AM11" s="15">
        <v>9.075E-4</v>
      </c>
      <c r="AN11" s="15">
        <v>9.075E-4</v>
      </c>
      <c r="AO11" s="15">
        <v>9.075E-4</v>
      </c>
      <c r="AP11" s="15">
        <v>9.075E-4</v>
      </c>
      <c r="AQ11" s="15">
        <v>9.075E-4</v>
      </c>
      <c r="AR11" s="15">
        <v>9.075E-4</v>
      </c>
      <c r="AS11" s="15">
        <v>9.075E-4</v>
      </c>
      <c r="AT11" s="15">
        <v>9.075E-4</v>
      </c>
      <c r="AU11" s="15">
        <v>9.075E-4</v>
      </c>
      <c r="AV11" s="15">
        <v>9.075E-4</v>
      </c>
      <c r="AW11" s="15">
        <v>9.075E-4</v>
      </c>
      <c r="AX11" s="15">
        <v>9.075E-4</v>
      </c>
      <c r="AY11" s="15">
        <v>9.075E-4</v>
      </c>
      <c r="AZ11" s="15">
        <v>9.075E-4</v>
      </c>
      <c r="BA11" s="15">
        <v>9.075E-4</v>
      </c>
      <c r="BB11" s="15">
        <v>9.075E-4</v>
      </c>
      <c r="BC11" s="15">
        <v>9.075E-4</v>
      </c>
      <c r="BD11" s="15">
        <v>9.075E-4</v>
      </c>
      <c r="BE11" s="15">
        <v>9.075E-4</v>
      </c>
      <c r="BF11" s="15">
        <v>9.075E-4</v>
      </c>
      <c r="BG11" s="15">
        <v>9.075E-4</v>
      </c>
      <c r="BH11" s="15">
        <v>9.075E-4</v>
      </c>
      <c r="BI11" s="15">
        <v>9.075E-4</v>
      </c>
      <c r="BJ11" s="15">
        <v>9.075E-4</v>
      </c>
      <c r="BK11" s="15">
        <v>9.075E-4</v>
      </c>
      <c r="BL11" s="15">
        <v>9.075E-4</v>
      </c>
      <c r="BM11" s="15">
        <v>9.075E-4</v>
      </c>
      <c r="BN11" s="15">
        <v>9.075E-4</v>
      </c>
      <c r="BO11" s="15">
        <v>9.075E-4</v>
      </c>
      <c r="BP11" s="15">
        <v>9.075E-4</v>
      </c>
      <c r="BQ11" s="15">
        <v>9.075E-4</v>
      </c>
      <c r="BR11" s="15">
        <v>9.075E-4</v>
      </c>
      <c r="BS11" s="15">
        <v>9.075E-4</v>
      </c>
      <c r="BT11" s="15">
        <v>9.075E-4</v>
      </c>
      <c r="BU11" s="15">
        <v>9.075E-4</v>
      </c>
      <c r="BV11" s="15">
        <v>9.075E-4</v>
      </c>
      <c r="BW11" s="15">
        <v>9.075E-4</v>
      </c>
      <c r="BX11" s="15">
        <v>9.075E-4</v>
      </c>
      <c r="BY11" s="15">
        <v>9.075E-4</v>
      </c>
      <c r="BZ11" s="15">
        <v>9.075E-4</v>
      </c>
      <c r="CA11" s="15">
        <v>9.075E-4</v>
      </c>
      <c r="CB11" s="15">
        <v>9.075E-4</v>
      </c>
      <c r="CC11" s="15">
        <v>9.075E-4</v>
      </c>
      <c r="CD11" s="15">
        <v>9.075E-4</v>
      </c>
      <c r="CE11" s="15">
        <v>9.075E-4</v>
      </c>
      <c r="CF11" s="15">
        <v>9.075E-4</v>
      </c>
      <c r="CG11" s="15">
        <v>9.075E-4</v>
      </c>
      <c r="CH11" s="15">
        <v>9.075E-4</v>
      </c>
      <c r="CI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6">
        <f t="shared" si="0"/>
        <v>7.0784999999999987E-2</v>
      </c>
      <c r="DX11" s="17" t="str">
        <f t="shared" si="1"/>
        <v>확인</v>
      </c>
      <c r="DY11" s="17" t="s">
        <v>24</v>
      </c>
    </row>
    <row r="12" spans="1:129" ht="21.95" customHeight="1">
      <c r="A12" s="14" t="s">
        <v>205</v>
      </c>
      <c r="B12" s="14" t="s">
        <v>208</v>
      </c>
      <c r="C12" s="22">
        <v>3267000000</v>
      </c>
      <c r="D12" s="23">
        <v>7.26E-3</v>
      </c>
      <c r="E12" s="14"/>
      <c r="F12" s="15"/>
      <c r="G12" s="15">
        <v>7.2599999999999997E-4</v>
      </c>
      <c r="H12" s="15">
        <v>9.075E-4</v>
      </c>
      <c r="I12" s="15">
        <v>9.075E-4</v>
      </c>
      <c r="J12" s="15">
        <v>9.075E-4</v>
      </c>
      <c r="K12" s="15">
        <v>9.075E-4</v>
      </c>
      <c r="L12" s="15">
        <v>9.075E-4</v>
      </c>
      <c r="M12" s="15">
        <v>9.075E-4</v>
      </c>
      <c r="N12" s="15">
        <v>9.075E-4</v>
      </c>
      <c r="O12" s="15">
        <v>9.075E-4</v>
      </c>
      <c r="P12" s="15">
        <v>9.075E-4</v>
      </c>
      <c r="Q12" s="15">
        <v>9.075E-4</v>
      </c>
      <c r="R12" s="15">
        <v>9.075E-4</v>
      </c>
      <c r="S12" s="15">
        <v>9.075E-4</v>
      </c>
      <c r="T12" s="15">
        <v>9.075E-4</v>
      </c>
      <c r="U12" s="15">
        <v>9.075E-4</v>
      </c>
      <c r="V12" s="15">
        <v>9.075E-4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6">
        <f t="shared" si="0"/>
        <v>1.4338500000000002E-2</v>
      </c>
      <c r="DX12" s="17" t="str">
        <f t="shared" si="1"/>
        <v>확인</v>
      </c>
      <c r="DY12" s="17" t="s">
        <v>27</v>
      </c>
    </row>
    <row r="13" spans="1:129" ht="21.95" customHeight="1">
      <c r="A13" s="14" t="s">
        <v>68</v>
      </c>
      <c r="B13" s="14" t="s">
        <v>209</v>
      </c>
      <c r="C13" s="22">
        <v>8983800000</v>
      </c>
      <c r="D13" s="23">
        <v>1.9963999999999999E-2</v>
      </c>
      <c r="E13" s="14"/>
      <c r="F13" s="20"/>
      <c r="G13" s="15"/>
      <c r="H13" s="15"/>
      <c r="I13" s="20">
        <v>9.9820000000000009E-4</v>
      </c>
      <c r="J13" s="20">
        <v>9.9820000000000009E-4</v>
      </c>
      <c r="K13" s="20">
        <v>9.9820000000000009E-4</v>
      </c>
      <c r="L13" s="20">
        <v>9.9820000000000009E-4</v>
      </c>
      <c r="M13" s="20">
        <v>9.9820000000000009E-4</v>
      </c>
      <c r="N13" s="20">
        <v>9.9820000000000009E-4</v>
      </c>
      <c r="O13" s="20">
        <v>9.9820000000000009E-4</v>
      </c>
      <c r="P13" s="20">
        <v>9.9820000000000009E-4</v>
      </c>
      <c r="Q13" s="20">
        <v>9.9820000000000009E-4</v>
      </c>
      <c r="R13" s="20">
        <v>9.9820000000000009E-4</v>
      </c>
      <c r="S13" s="20">
        <v>9.9820000000000009E-4</v>
      </c>
      <c r="T13" s="20">
        <v>9.9820000000000009E-4</v>
      </c>
      <c r="U13" s="20">
        <v>9.9820000000000009E-4</v>
      </c>
      <c r="V13" s="20">
        <v>9.9820000000000009E-4</v>
      </c>
      <c r="W13" s="20">
        <v>9.9820000000000009E-4</v>
      </c>
      <c r="X13" s="20">
        <v>9.9820000000000009E-4</v>
      </c>
      <c r="Y13" s="20">
        <v>9.9820000000000009E-4</v>
      </c>
      <c r="Z13" s="20">
        <v>9.9820000000000009E-4</v>
      </c>
      <c r="AA13" s="20">
        <v>9.9820000000000009E-4</v>
      </c>
      <c r="AB13" s="20">
        <v>9.9820000000000009E-4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6">
        <f t="shared" si="0"/>
        <v>1.9964000000000003E-2</v>
      </c>
      <c r="DX13" s="17" t="str">
        <f t="shared" si="1"/>
        <v>OK</v>
      </c>
      <c r="DY13" s="17" t="s">
        <v>9</v>
      </c>
    </row>
    <row r="14" spans="1:129" ht="21.95" customHeight="1">
      <c r="A14" s="14" t="s">
        <v>68</v>
      </c>
      <c r="B14" s="14" t="s">
        <v>210</v>
      </c>
      <c r="C14" s="22">
        <v>11433600000</v>
      </c>
      <c r="D14" s="23">
        <v>2.5408E-2</v>
      </c>
      <c r="E14" s="14"/>
      <c r="F14" s="20"/>
      <c r="G14" s="15"/>
      <c r="H14" s="15"/>
      <c r="I14" s="20">
        <v>9.9820000000000009E-4</v>
      </c>
      <c r="J14" s="20">
        <v>9.9820000000000009E-4</v>
      </c>
      <c r="K14" s="20">
        <v>9.9820000000000009E-4</v>
      </c>
      <c r="L14" s="20">
        <v>9.9820000000000009E-4</v>
      </c>
      <c r="M14" s="20">
        <v>9.9820000000000009E-4</v>
      </c>
      <c r="N14" s="20">
        <v>9.9820000000000009E-4</v>
      </c>
      <c r="O14" s="20">
        <v>9.9820000000000009E-4</v>
      </c>
      <c r="P14" s="20">
        <v>9.9820000000000009E-4</v>
      </c>
      <c r="Q14" s="20">
        <v>9.9820000000000009E-4</v>
      </c>
      <c r="R14" s="20">
        <v>9.9820000000000009E-4</v>
      </c>
      <c r="S14" s="20">
        <v>9.9820000000000009E-4</v>
      </c>
      <c r="T14" s="20">
        <v>9.9820000000000009E-4</v>
      </c>
      <c r="U14" s="20">
        <v>9.9820000000000009E-4</v>
      </c>
      <c r="V14" s="20">
        <v>9.9820000000000009E-4</v>
      </c>
      <c r="W14" s="20">
        <v>9.9820000000000009E-4</v>
      </c>
      <c r="X14" s="20">
        <v>9.9820000000000009E-4</v>
      </c>
      <c r="Y14" s="20">
        <v>9.9820000000000009E-4</v>
      </c>
      <c r="Z14" s="20">
        <v>9.9820000000000009E-4</v>
      </c>
      <c r="AA14" s="20">
        <v>9.9820000000000009E-4</v>
      </c>
      <c r="AB14" s="20">
        <v>9.9820000000000009E-4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6">
        <f t="shared" si="0"/>
        <v>1.9964000000000003E-2</v>
      </c>
      <c r="DX14" s="17" t="str">
        <f t="shared" si="1"/>
        <v>확인</v>
      </c>
      <c r="DY14" s="17" t="s">
        <v>10</v>
      </c>
    </row>
    <row r="15" spans="1:129" ht="21.95" customHeight="1">
      <c r="A15" s="14" t="s">
        <v>68</v>
      </c>
      <c r="B15" s="14" t="s">
        <v>211</v>
      </c>
      <c r="C15" s="22">
        <v>3675150000</v>
      </c>
      <c r="D15" s="23">
        <v>8.1670000000000006E-3</v>
      </c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20">
        <v>5.8336E-4</v>
      </c>
      <c r="X15" s="20">
        <v>5.8336E-4</v>
      </c>
      <c r="Y15" s="20">
        <v>5.8336E-4</v>
      </c>
      <c r="Z15" s="20">
        <v>5.8336E-4</v>
      </c>
      <c r="AA15" s="20">
        <v>5.8336E-4</v>
      </c>
      <c r="AB15" s="20">
        <v>5.8336E-4</v>
      </c>
      <c r="AC15" s="20">
        <v>5.8336E-4</v>
      </c>
      <c r="AD15" s="20">
        <v>5.8336E-4</v>
      </c>
      <c r="AE15" s="20">
        <v>5.8336E-4</v>
      </c>
      <c r="AF15" s="20">
        <v>5.8336E-4</v>
      </c>
      <c r="AG15" s="20">
        <v>5.8336E-4</v>
      </c>
      <c r="AH15" s="20">
        <v>5.8336E-4</v>
      </c>
      <c r="AI15" s="20">
        <v>5.8336E-4</v>
      </c>
      <c r="AJ15" s="20">
        <v>5.8336E-4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6">
        <f t="shared" si="0"/>
        <v>8.1670399999999987E-3</v>
      </c>
      <c r="DX15" s="17" t="str">
        <f t="shared" si="1"/>
        <v>OK</v>
      </c>
      <c r="DY15" s="17" t="s">
        <v>19</v>
      </c>
    </row>
    <row r="16" spans="1:129" ht="21.95" customHeight="1">
      <c r="A16" s="14" t="s">
        <v>206</v>
      </c>
      <c r="B16" s="14" t="s">
        <v>212</v>
      </c>
      <c r="C16" s="22">
        <v>10208700000</v>
      </c>
      <c r="D16" s="23">
        <v>2.2686000000000001E-2</v>
      </c>
      <c r="E16" s="14"/>
      <c r="F16" s="15"/>
      <c r="G16" s="15"/>
      <c r="H16" s="15"/>
      <c r="I16" s="15"/>
      <c r="J16" s="15"/>
      <c r="K16" s="15"/>
      <c r="L16" s="15"/>
      <c r="M16" s="20">
        <v>9.9820000000000009E-4</v>
      </c>
      <c r="N16" s="20">
        <v>9.9820000000000009E-4</v>
      </c>
      <c r="O16" s="20">
        <v>9.9820000000000009E-4</v>
      </c>
      <c r="P16" s="20">
        <v>9.9820000000000009E-4</v>
      </c>
      <c r="Q16" s="20">
        <v>9.9820000000000009E-4</v>
      </c>
      <c r="R16" s="20">
        <v>9.9820000000000009E-4</v>
      </c>
      <c r="S16" s="20">
        <v>9.9820000000000009E-4</v>
      </c>
      <c r="T16" s="20">
        <v>9.9820000000000009E-4</v>
      </c>
      <c r="U16" s="20">
        <v>9.9820000000000009E-4</v>
      </c>
      <c r="V16" s="20">
        <v>9.9820000000000009E-4</v>
      </c>
      <c r="W16" s="20">
        <v>9.9820000000000009E-4</v>
      </c>
      <c r="X16" s="20">
        <v>9.9820000000000009E-4</v>
      </c>
      <c r="Y16" s="20">
        <v>9.9820000000000009E-4</v>
      </c>
      <c r="Z16" s="20">
        <v>9.9820000000000009E-4</v>
      </c>
      <c r="AA16" s="20">
        <v>9.9820000000000009E-4</v>
      </c>
      <c r="AB16" s="20"/>
      <c r="AC16" s="20"/>
      <c r="AD16" s="20"/>
      <c r="AE16" s="20"/>
      <c r="AF16" s="20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6">
        <f t="shared" si="0"/>
        <v>1.4972999999999997E-2</v>
      </c>
      <c r="DX16" s="17" t="str">
        <f t="shared" si="1"/>
        <v>확인</v>
      </c>
      <c r="DY16" s="17" t="s">
        <v>20</v>
      </c>
    </row>
    <row r="17" spans="1:129" ht="21.95" customHeight="1">
      <c r="A17" s="14" t="s">
        <v>13</v>
      </c>
      <c r="B17" s="14" t="s">
        <v>213</v>
      </c>
      <c r="C17" s="22">
        <v>12250350000</v>
      </c>
      <c r="D17" s="23">
        <v>2.7223000000000001E-2</v>
      </c>
      <c r="E17" s="14" t="s">
        <v>22</v>
      </c>
      <c r="F17" s="15"/>
      <c r="G17" s="15"/>
      <c r="H17" s="15"/>
      <c r="I17" s="15"/>
      <c r="J17" s="15"/>
      <c r="K17" s="15"/>
      <c r="L17" s="15"/>
      <c r="M17" s="15"/>
      <c r="N17" s="15"/>
      <c r="O17" s="20"/>
      <c r="P17" s="20"/>
      <c r="Q17" s="20"/>
      <c r="R17" s="20"/>
      <c r="S17" s="20">
        <v>9.9820000000000009E-4</v>
      </c>
      <c r="T17" s="20">
        <v>9.9820000000000009E-4</v>
      </c>
      <c r="U17" s="20">
        <v>9.9820000000000009E-4</v>
      </c>
      <c r="V17" s="20">
        <v>9.9820000000000009E-4</v>
      </c>
      <c r="W17" s="20">
        <v>9.9820000000000009E-4</v>
      </c>
      <c r="X17" s="20">
        <v>9.9820000000000009E-4</v>
      </c>
      <c r="Y17" s="20">
        <v>9.9820000000000009E-4</v>
      </c>
      <c r="Z17" s="20">
        <v>9.9820000000000009E-4</v>
      </c>
      <c r="AA17" s="20">
        <v>9.9820000000000009E-4</v>
      </c>
      <c r="AB17" s="20">
        <v>9.9820000000000009E-4</v>
      </c>
      <c r="AC17" s="20">
        <v>9.9820000000000009E-4</v>
      </c>
      <c r="AD17" s="20">
        <v>9.9820000000000009E-4</v>
      </c>
      <c r="AE17" s="20"/>
      <c r="AF17" s="20"/>
      <c r="AG17" s="20"/>
      <c r="AH17" s="20"/>
      <c r="AI17" s="20"/>
      <c r="AJ17" s="20"/>
      <c r="AK17" s="20"/>
      <c r="AL17" s="20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6">
        <f t="shared" si="0"/>
        <v>1.1978399999999998E-2</v>
      </c>
      <c r="DX17" s="17" t="str">
        <f t="shared" si="1"/>
        <v>확인</v>
      </c>
      <c r="DY17" s="17" t="s">
        <v>11</v>
      </c>
    </row>
    <row r="18" spans="1:129" ht="21.95" customHeight="1">
      <c r="A18" s="14" t="s">
        <v>207</v>
      </c>
      <c r="B18" s="14" t="s">
        <v>214</v>
      </c>
      <c r="C18" s="22">
        <v>34709400000</v>
      </c>
      <c r="D18" s="23">
        <v>7.7132000000000006E-2</v>
      </c>
      <c r="E18" s="14" t="s">
        <v>23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20"/>
      <c r="X18" s="20"/>
      <c r="Y18" s="20"/>
      <c r="Z18" s="20"/>
      <c r="AA18" s="20">
        <v>9.9820000000000009E-4</v>
      </c>
      <c r="AB18" s="20">
        <v>9.9820000000000009E-4</v>
      </c>
      <c r="AC18" s="20">
        <v>9.9820000000000009E-4</v>
      </c>
      <c r="AD18" s="20">
        <v>9.9820000000000009E-4</v>
      </c>
      <c r="AE18" s="20">
        <v>9.9820000000000009E-4</v>
      </c>
      <c r="AF18" s="20">
        <v>9.9820000000000009E-4</v>
      </c>
      <c r="AG18" s="20">
        <v>9.9820000000000009E-4</v>
      </c>
      <c r="AH18" s="20">
        <v>9.9820000000000009E-4</v>
      </c>
      <c r="AI18" s="20">
        <v>9.9820000000000009E-4</v>
      </c>
      <c r="AJ18" s="20">
        <v>9.9820000000000009E-4</v>
      </c>
      <c r="AK18" s="20">
        <v>9.9820000000000009E-4</v>
      </c>
      <c r="AL18" s="20">
        <v>9.9820000000000009E-4</v>
      </c>
      <c r="AM18" s="20"/>
      <c r="AN18" s="20"/>
      <c r="AO18" s="20"/>
      <c r="AP18" s="20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6">
        <f t="shared" si="0"/>
        <v>1.1978399999999998E-2</v>
      </c>
      <c r="DX18" s="17" t="str">
        <f t="shared" si="1"/>
        <v>확인</v>
      </c>
      <c r="DY18" s="17" t="s">
        <v>25</v>
      </c>
    </row>
    <row r="19" spans="1:129" ht="21.95" customHeight="1">
      <c r="A19" s="14" t="s">
        <v>12</v>
      </c>
      <c r="B19" s="14" t="s">
        <v>215</v>
      </c>
      <c r="C19" s="22">
        <v>28584450000</v>
      </c>
      <c r="D19" s="23">
        <v>6.3520999999999994E-2</v>
      </c>
      <c r="E19" s="14" t="s">
        <v>109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M19" s="20">
        <v>9.9820000000000009E-4</v>
      </c>
      <c r="AN19" s="20">
        <v>9.9820000000000009E-4</v>
      </c>
      <c r="AO19" s="20">
        <v>9.9820000000000009E-4</v>
      </c>
      <c r="AP19" s="20">
        <v>9.9820000000000009E-4</v>
      </c>
      <c r="AQ19" s="20">
        <v>9.9820000000000009E-4</v>
      </c>
      <c r="AR19" s="20">
        <v>9.9820000000000009E-4</v>
      </c>
      <c r="AS19" s="20">
        <v>9.9820000000000009E-4</v>
      </c>
      <c r="AT19" s="20">
        <v>9.9820000000000009E-4</v>
      </c>
      <c r="AU19" s="20">
        <v>9.9820000000000009E-4</v>
      </c>
      <c r="AV19" s="20">
        <v>9.9820000000000009E-4</v>
      </c>
      <c r="AW19" s="20">
        <v>9.9820000000000009E-4</v>
      </c>
      <c r="AX19" s="20">
        <v>9.9820000000000009E-4</v>
      </c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6">
        <f t="shared" si="0"/>
        <v>1.1978399999999998E-2</v>
      </c>
      <c r="DX19" s="17" t="str">
        <f t="shared" si="1"/>
        <v>확인</v>
      </c>
      <c r="DY19" s="17" t="s">
        <v>26</v>
      </c>
    </row>
    <row r="20" spans="1:129" ht="21.95" customHeight="1">
      <c r="A20" s="14" t="s">
        <v>12</v>
      </c>
      <c r="B20" s="14" t="s">
        <v>78</v>
      </c>
      <c r="C20" s="22">
        <v>28584450000</v>
      </c>
      <c r="D20" s="23">
        <v>6.3520999999999994E-2</v>
      </c>
      <c r="E20" s="14" t="s">
        <v>108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Y20" s="20">
        <v>9.9820000000000009E-4</v>
      </c>
      <c r="AZ20" s="20">
        <v>9.9820000000000009E-4</v>
      </c>
      <c r="BA20" s="20">
        <v>9.9820000000000009E-4</v>
      </c>
      <c r="BB20" s="20">
        <v>9.9820000000000009E-4</v>
      </c>
      <c r="BC20" s="20">
        <v>9.9820000000000009E-4</v>
      </c>
      <c r="BD20" s="20">
        <v>9.9820000000000009E-4</v>
      </c>
      <c r="BE20" s="20">
        <v>9.9820000000000009E-4</v>
      </c>
      <c r="BF20" s="20">
        <v>9.9820000000000009E-4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6">
        <f t="shared" si="0"/>
        <v>7.9856000000000007E-3</v>
      </c>
      <c r="DX20" s="17" t="str">
        <f t="shared" si="1"/>
        <v>확인</v>
      </c>
      <c r="DY20" s="17" t="s">
        <v>37</v>
      </c>
    </row>
    <row r="21" spans="1:129" ht="21.95" customHeight="1">
      <c r="A21" s="14" t="s">
        <v>12</v>
      </c>
      <c r="B21" s="14" t="s">
        <v>123</v>
      </c>
      <c r="C21" s="22">
        <v>6125400000</v>
      </c>
      <c r="D21" s="23">
        <v>1.3612000000000001E-2</v>
      </c>
      <c r="E21" s="14" t="s">
        <v>39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20">
        <v>9.9820000000000009E-4</v>
      </c>
      <c r="BD21" s="20">
        <v>9.9820000000000009E-4</v>
      </c>
      <c r="BE21" s="20">
        <v>9.9820000000000009E-4</v>
      </c>
      <c r="BF21" s="20">
        <v>9.9820000000000009E-4</v>
      </c>
      <c r="BG21" s="20">
        <v>9.9820000000000009E-4</v>
      </c>
      <c r="BH21" s="20">
        <v>9.9820000000000009E-4</v>
      </c>
      <c r="BI21" s="20">
        <v>9.9820000000000009E-4</v>
      </c>
      <c r="BJ21" s="20">
        <v>9.9820000000000009E-4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6">
        <f t="shared" si="0"/>
        <v>7.9856000000000007E-3</v>
      </c>
      <c r="DX21" s="17" t="str">
        <f t="shared" si="1"/>
        <v>확인</v>
      </c>
      <c r="DY21" s="17" t="s">
        <v>79</v>
      </c>
    </row>
    <row r="22" spans="1:129" ht="21.95" customHeight="1">
      <c r="A22" s="14" t="s">
        <v>36</v>
      </c>
      <c r="B22" s="14" t="s">
        <v>122</v>
      </c>
      <c r="C22" s="22">
        <v>8983800000</v>
      </c>
      <c r="D22" s="23">
        <v>1.9963999999999999E-2</v>
      </c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BG22" s="20">
        <v>9.9820000000000009E-4</v>
      </c>
      <c r="BH22" s="20">
        <v>9.9820000000000009E-4</v>
      </c>
      <c r="BI22" s="20">
        <v>9.9820000000000009E-4</v>
      </c>
      <c r="BJ22" s="20">
        <v>9.9820000000000009E-4</v>
      </c>
      <c r="BK22" s="20">
        <v>9.9820000000000009E-4</v>
      </c>
      <c r="BL22" s="20">
        <v>9.9820000000000009E-4</v>
      </c>
      <c r="BM22" s="20">
        <v>9.9820000000000009E-4</v>
      </c>
      <c r="BN22" s="20">
        <v>9.9820000000000009E-4</v>
      </c>
      <c r="BO22" s="20">
        <v>9.9820000000000009E-4</v>
      </c>
      <c r="BP22" s="20">
        <v>9.9820000000000009E-4</v>
      </c>
      <c r="BQ22" s="20">
        <v>9.9820000000000009E-4</v>
      </c>
      <c r="BR22" s="20">
        <v>9.9820000000000009E-4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6">
        <f t="shared" ref="DW22:DW30" si="2">SUM(F22:CL22)</f>
        <v>1.1978399999999998E-2</v>
      </c>
      <c r="DX22" s="17" t="str">
        <f t="shared" si="1"/>
        <v>확인</v>
      </c>
      <c r="DY22" s="17" t="s">
        <v>29</v>
      </c>
    </row>
    <row r="23" spans="1:129" ht="21.95" customHeight="1">
      <c r="A23" s="14" t="s">
        <v>36</v>
      </c>
      <c r="B23" s="14" t="s">
        <v>121</v>
      </c>
      <c r="C23" s="22">
        <v>8167050000</v>
      </c>
      <c r="D23" s="23">
        <v>1.8148999999999998E-2</v>
      </c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BG23" s="15"/>
      <c r="BH23" s="15"/>
      <c r="BI23" s="20">
        <v>9.9820000000000009E-4</v>
      </c>
      <c r="BJ23" s="20">
        <v>9.9820000000000009E-4</v>
      </c>
      <c r="BK23" s="20">
        <v>9.9820000000000009E-4</v>
      </c>
      <c r="BL23" s="20">
        <v>9.9820000000000009E-4</v>
      </c>
      <c r="BM23" s="20">
        <v>9.9820000000000009E-4</v>
      </c>
      <c r="BN23" s="20">
        <v>9.9820000000000009E-4</v>
      </c>
      <c r="BO23" s="20">
        <v>9.9820000000000009E-4</v>
      </c>
      <c r="BP23" s="20">
        <v>9.9820000000000009E-4</v>
      </c>
      <c r="BQ23" s="20">
        <v>9.9820000000000009E-4</v>
      </c>
      <c r="BR23" s="20">
        <v>9.9820000000000009E-4</v>
      </c>
      <c r="BS23" s="20">
        <v>9.9820000000000009E-4</v>
      </c>
      <c r="BT23" s="20">
        <v>9.9820000000000009E-4</v>
      </c>
      <c r="BU23" s="20">
        <v>9.9820000000000009E-4</v>
      </c>
      <c r="BV23" s="20">
        <v>9.9820000000000009E-4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6">
        <f t="shared" si="2"/>
        <v>1.3974799999999997E-2</v>
      </c>
      <c r="DX23" s="17" t="str">
        <f t="shared" si="1"/>
        <v>확인</v>
      </c>
      <c r="DY23" s="17" t="s">
        <v>32</v>
      </c>
    </row>
    <row r="24" spans="1:129" ht="21.95" customHeight="1">
      <c r="A24" s="14" t="s">
        <v>36</v>
      </c>
      <c r="B24" s="14" t="s">
        <v>120</v>
      </c>
      <c r="C24" s="22">
        <v>6533550000</v>
      </c>
      <c r="D24" s="23">
        <v>1.4519000000000001E-2</v>
      </c>
      <c r="E24" s="14" t="s">
        <v>80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BG24" s="15"/>
      <c r="BH24" s="15"/>
      <c r="BI24" s="20">
        <v>9.9820000000000009E-4</v>
      </c>
      <c r="BJ24" s="20">
        <v>9.9820000000000009E-4</v>
      </c>
      <c r="BK24" s="20">
        <v>9.9820000000000009E-4</v>
      </c>
      <c r="BL24" s="20">
        <v>9.9820000000000009E-4</v>
      </c>
      <c r="BM24" s="20">
        <v>9.9820000000000009E-4</v>
      </c>
      <c r="BN24" s="20">
        <v>9.9820000000000009E-4</v>
      </c>
      <c r="BO24" s="20">
        <v>9.9820000000000009E-4</v>
      </c>
      <c r="BP24" s="20">
        <v>9.9820000000000009E-4</v>
      </c>
      <c r="BQ24" s="20">
        <v>9.9820000000000009E-4</v>
      </c>
      <c r="BR24" s="20">
        <v>9.9820000000000009E-4</v>
      </c>
      <c r="BS24" s="20">
        <v>9.9820000000000009E-4</v>
      </c>
      <c r="BT24" s="20">
        <v>9.9820000000000009E-4</v>
      </c>
      <c r="BU24" s="20">
        <v>9.9820000000000009E-4</v>
      </c>
      <c r="BV24" s="20">
        <v>9.9820000000000009E-4</v>
      </c>
      <c r="BW24" s="20">
        <v>9.9820000000000009E-4</v>
      </c>
      <c r="BX24" s="20">
        <v>9.9820000000000009E-4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6">
        <f t="shared" si="2"/>
        <v>1.5971199999999998E-2</v>
      </c>
      <c r="DX24" s="17" t="str">
        <f t="shared" si="1"/>
        <v>확인</v>
      </c>
      <c r="DY24" s="17" t="s">
        <v>28</v>
      </c>
    </row>
    <row r="25" spans="1:129" ht="21.95" customHeight="1">
      <c r="A25" s="14" t="s">
        <v>36</v>
      </c>
      <c r="B25" s="14" t="s">
        <v>119</v>
      </c>
      <c r="C25" s="22">
        <v>5716800000</v>
      </c>
      <c r="D25" s="23">
        <v>1.2704E-2</v>
      </c>
      <c r="E25" s="1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BG25" s="15"/>
      <c r="BH25" s="15"/>
      <c r="BI25" s="15"/>
      <c r="BJ25" s="15"/>
      <c r="BK25" s="15"/>
      <c r="BL25" s="15"/>
      <c r="BM25" s="15"/>
      <c r="BN25" s="15"/>
      <c r="BO25" s="20">
        <v>9.9820000000000009E-4</v>
      </c>
      <c r="BP25" s="20">
        <v>9.9820000000000009E-4</v>
      </c>
      <c r="BQ25" s="20">
        <v>9.9820000000000009E-4</v>
      </c>
      <c r="BR25" s="20">
        <v>9.9820000000000009E-4</v>
      </c>
      <c r="BS25" s="20">
        <v>9.9820000000000009E-4</v>
      </c>
      <c r="BT25" s="20">
        <v>9.9820000000000009E-4</v>
      </c>
      <c r="BU25" s="20">
        <v>9.9820000000000009E-4</v>
      </c>
      <c r="BV25" s="20">
        <v>9.9820000000000009E-4</v>
      </c>
      <c r="BW25" s="20">
        <v>9.9820000000000009E-4</v>
      </c>
      <c r="BX25" s="20">
        <v>9.9820000000000009E-4</v>
      </c>
      <c r="BY25" s="20">
        <v>9.9820000000000009E-4</v>
      </c>
      <c r="BZ25" s="20">
        <v>9.9820000000000009E-4</v>
      </c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6">
        <f t="shared" si="2"/>
        <v>1.1978399999999998E-2</v>
      </c>
      <c r="DX25" s="17" t="str">
        <f t="shared" si="1"/>
        <v>확인</v>
      </c>
      <c r="DY25" s="17" t="s">
        <v>30</v>
      </c>
    </row>
    <row r="26" spans="1:129" ht="21.95" customHeight="1">
      <c r="A26" s="14" t="s">
        <v>36</v>
      </c>
      <c r="B26" s="14" t="s">
        <v>118</v>
      </c>
      <c r="C26" s="22">
        <v>14292000000</v>
      </c>
      <c r="D26" s="23">
        <v>3.1759999999999997E-2</v>
      </c>
      <c r="E26" s="14" t="s">
        <v>38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BG26" s="15"/>
      <c r="BH26" s="15"/>
      <c r="BI26" s="15"/>
      <c r="BJ26" s="15"/>
      <c r="BK26" s="15"/>
      <c r="BL26" s="15"/>
      <c r="BM26" s="15"/>
      <c r="BN26" s="15"/>
      <c r="BO26" s="20">
        <v>9.9820000000000009E-4</v>
      </c>
      <c r="BP26" s="20">
        <v>9.9820000000000009E-4</v>
      </c>
      <c r="BQ26" s="20">
        <v>9.9820000000000009E-4</v>
      </c>
      <c r="BR26" s="20">
        <v>9.9820000000000009E-4</v>
      </c>
      <c r="BS26" s="20">
        <v>9.9820000000000009E-4</v>
      </c>
      <c r="BT26" s="20">
        <v>9.9820000000000009E-4</v>
      </c>
      <c r="BU26" s="20">
        <v>9.9820000000000009E-4</v>
      </c>
      <c r="BV26" s="20">
        <v>9.9820000000000009E-4</v>
      </c>
      <c r="BW26" s="20">
        <v>9.9820000000000009E-4</v>
      </c>
      <c r="BX26" s="20">
        <v>9.9820000000000009E-4</v>
      </c>
      <c r="BY26" s="20">
        <v>9.9820000000000009E-4</v>
      </c>
      <c r="BZ26" s="20">
        <v>9.9820000000000009E-4</v>
      </c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6">
        <f t="shared" si="2"/>
        <v>1.1978399999999998E-2</v>
      </c>
      <c r="DX26" s="17" t="str">
        <f t="shared" si="1"/>
        <v>확인</v>
      </c>
      <c r="DY26" s="17" t="s">
        <v>31</v>
      </c>
    </row>
    <row r="27" spans="1:129" ht="21.95" customHeight="1">
      <c r="A27" s="14" t="s">
        <v>36</v>
      </c>
      <c r="B27" s="14" t="s">
        <v>117</v>
      </c>
      <c r="C27" s="22">
        <v>6125400000</v>
      </c>
      <c r="D27" s="23">
        <v>1.3612000000000001E-2</v>
      </c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BG27" s="15"/>
      <c r="BH27" s="15"/>
      <c r="BI27" s="15"/>
      <c r="BJ27" s="15"/>
      <c r="BK27" s="15"/>
      <c r="BL27" s="15"/>
      <c r="BM27" s="15"/>
      <c r="BN27" s="15"/>
      <c r="BO27" s="20">
        <v>9.9820000000000009E-4</v>
      </c>
      <c r="BP27" s="20">
        <v>9.9820000000000009E-4</v>
      </c>
      <c r="BQ27" s="20">
        <v>9.9820000000000009E-4</v>
      </c>
      <c r="BR27" s="20">
        <v>9.9820000000000009E-4</v>
      </c>
      <c r="BS27" s="20">
        <v>9.9820000000000009E-4</v>
      </c>
      <c r="BT27" s="20">
        <v>9.9820000000000009E-4</v>
      </c>
      <c r="BU27" s="20">
        <v>9.9820000000000009E-4</v>
      </c>
      <c r="BV27" s="20">
        <v>9.9820000000000009E-4</v>
      </c>
      <c r="BW27" s="20">
        <v>9.9820000000000009E-4</v>
      </c>
      <c r="BX27" s="20">
        <v>9.9820000000000009E-4</v>
      </c>
      <c r="BY27" s="20">
        <v>9.9820000000000009E-4</v>
      </c>
      <c r="BZ27" s="20">
        <v>9.9820000000000009E-4</v>
      </c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6">
        <f t="shared" si="2"/>
        <v>1.1978399999999998E-2</v>
      </c>
      <c r="DX27" s="17" t="str">
        <f t="shared" si="1"/>
        <v>확인</v>
      </c>
      <c r="DY27" s="17" t="s">
        <v>33</v>
      </c>
    </row>
    <row r="28" spans="1:129" ht="21.95" customHeight="1">
      <c r="A28" s="14" t="s">
        <v>36</v>
      </c>
      <c r="B28" s="14" t="s">
        <v>116</v>
      </c>
      <c r="C28" s="22">
        <v>9800550000</v>
      </c>
      <c r="D28" s="23">
        <v>2.1779E-2</v>
      </c>
      <c r="E28" s="14" t="s">
        <v>35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20">
        <v>9.9820000000000009E-4</v>
      </c>
      <c r="BT28" s="20">
        <v>9.9820000000000009E-4</v>
      </c>
      <c r="BU28" s="20">
        <v>9.9820000000000009E-4</v>
      </c>
      <c r="BV28" s="20">
        <v>9.9820000000000009E-4</v>
      </c>
      <c r="BW28" s="20">
        <v>9.9820000000000009E-4</v>
      </c>
      <c r="BX28" s="20">
        <v>9.9820000000000009E-4</v>
      </c>
      <c r="BY28" s="20">
        <v>9.9820000000000009E-4</v>
      </c>
      <c r="BZ28" s="20">
        <v>9.9820000000000009E-4</v>
      </c>
      <c r="CA28" s="20">
        <v>9.9820000000000009E-4</v>
      </c>
      <c r="CB28" s="20">
        <v>9.9820000000000009E-4</v>
      </c>
      <c r="CC28" s="20">
        <v>9.9820000000000009E-4</v>
      </c>
      <c r="CD28" s="20">
        <v>9.9820000000000009E-4</v>
      </c>
      <c r="CE28" s="20"/>
      <c r="CF28" s="15"/>
      <c r="CG28" s="15"/>
      <c r="CH28" s="15"/>
      <c r="CI28" s="15"/>
      <c r="CJ28" s="15"/>
      <c r="CK28" s="15"/>
      <c r="CL28" s="15"/>
      <c r="CM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6">
        <f t="shared" si="2"/>
        <v>1.1978399999999998E-2</v>
      </c>
      <c r="DX28" s="17" t="str">
        <f t="shared" si="1"/>
        <v>확인</v>
      </c>
      <c r="DY28" s="17" t="s">
        <v>34</v>
      </c>
    </row>
    <row r="29" spans="1:129" ht="21.95" customHeight="1">
      <c r="A29" s="14" t="s">
        <v>36</v>
      </c>
      <c r="B29" s="14" t="s">
        <v>115</v>
      </c>
      <c r="C29" s="22">
        <v>10208700000</v>
      </c>
      <c r="D29" s="23">
        <v>2.2686000000000001E-2</v>
      </c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20">
        <v>9.9820000000000009E-4</v>
      </c>
      <c r="BR29" s="20">
        <v>9.9820000000000009E-4</v>
      </c>
      <c r="BS29" s="20">
        <v>9.9820000000000009E-4</v>
      </c>
      <c r="BT29" s="20">
        <v>9.9820000000000009E-4</v>
      </c>
      <c r="BU29" s="20">
        <v>9.9820000000000009E-4</v>
      </c>
      <c r="BV29" s="20">
        <v>9.9820000000000009E-4</v>
      </c>
      <c r="BW29" s="20">
        <v>9.9820000000000009E-4</v>
      </c>
      <c r="BX29" s="20">
        <v>9.9820000000000009E-4</v>
      </c>
      <c r="BY29" s="20">
        <v>9.9820000000000009E-4</v>
      </c>
      <c r="BZ29" s="20">
        <v>9.9820000000000009E-4</v>
      </c>
      <c r="CA29" s="20">
        <v>9.9820000000000009E-4</v>
      </c>
      <c r="CB29" s="20">
        <v>9.9820000000000009E-4</v>
      </c>
      <c r="CC29" s="15"/>
      <c r="CD29" s="15"/>
      <c r="CE29" s="20"/>
      <c r="CF29" s="15"/>
      <c r="CG29" s="15"/>
      <c r="CH29" s="15"/>
      <c r="CI29" s="15"/>
      <c r="CJ29" s="15"/>
      <c r="CK29" s="15"/>
      <c r="CL29" s="15"/>
      <c r="CM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6">
        <f t="shared" si="2"/>
        <v>1.1978399999999998E-2</v>
      </c>
      <c r="DX29" s="17" t="str">
        <f t="shared" si="1"/>
        <v>확인</v>
      </c>
      <c r="DY29" s="17" t="s">
        <v>47</v>
      </c>
    </row>
    <row r="30" spans="1:129" ht="21.95" customHeight="1">
      <c r="A30" s="14" t="s">
        <v>36</v>
      </c>
      <c r="B30" s="14" t="s">
        <v>114</v>
      </c>
      <c r="C30" s="22">
        <v>8167050000</v>
      </c>
      <c r="D30" s="23">
        <v>1.8148999999999998E-2</v>
      </c>
      <c r="E30" s="14" t="s">
        <v>81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20">
        <v>9.9820000000000009E-4</v>
      </c>
      <c r="BR30" s="20">
        <v>9.9820000000000009E-4</v>
      </c>
      <c r="BS30" s="20">
        <v>9.9820000000000009E-4</v>
      </c>
      <c r="BT30" s="20">
        <v>9.9820000000000009E-4</v>
      </c>
      <c r="BU30" s="20">
        <v>9.9820000000000009E-4</v>
      </c>
      <c r="BV30" s="20">
        <v>9.9820000000000009E-4</v>
      </c>
      <c r="BW30" s="20">
        <v>9.9820000000000009E-4</v>
      </c>
      <c r="BX30" s="20">
        <v>9.9820000000000009E-4</v>
      </c>
      <c r="BY30" s="20">
        <v>9.9820000000000009E-4</v>
      </c>
      <c r="BZ30" s="20">
        <v>9.9820000000000009E-4</v>
      </c>
      <c r="CA30" s="20">
        <v>9.9820000000000009E-4</v>
      </c>
      <c r="CB30" s="20">
        <v>9.9820000000000009E-4</v>
      </c>
      <c r="CC30" s="15"/>
      <c r="CD30" s="15"/>
      <c r="CE30" s="20"/>
      <c r="CF30" s="15"/>
      <c r="CG30" s="15"/>
      <c r="CH30" s="15"/>
      <c r="CI30" s="15"/>
      <c r="CJ30" s="15"/>
      <c r="CK30" s="15"/>
      <c r="CL30" s="15"/>
      <c r="CM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6">
        <f t="shared" si="2"/>
        <v>1.1978399999999998E-2</v>
      </c>
      <c r="DX30" s="17" t="str">
        <f t="shared" si="1"/>
        <v>확인</v>
      </c>
      <c r="DY30" s="17" t="s">
        <v>45</v>
      </c>
    </row>
    <row r="31" spans="1:129" ht="21.95" customHeight="1">
      <c r="A31" s="14" t="s">
        <v>36</v>
      </c>
      <c r="B31" s="14" t="s">
        <v>113</v>
      </c>
      <c r="C31" s="22">
        <v>13067100000</v>
      </c>
      <c r="D31" s="23">
        <v>2.9038000000000001E-2</v>
      </c>
      <c r="E31" s="14" t="s">
        <v>40</v>
      </c>
      <c r="F31" s="14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20">
        <v>9.9820000000000009E-4</v>
      </c>
      <c r="CJ31" s="20">
        <v>9.9820000000000009E-4</v>
      </c>
      <c r="CK31" s="20">
        <v>9.9820000000000009E-4</v>
      </c>
      <c r="CL31" s="20">
        <v>9.9820000000000009E-4</v>
      </c>
      <c r="CM31" s="20">
        <v>9.9820000000000009E-4</v>
      </c>
      <c r="CN31" s="20">
        <v>9.9820000000000009E-4</v>
      </c>
      <c r="CO31" s="20">
        <v>9.9820000000000009E-4</v>
      </c>
      <c r="CP31" s="20">
        <v>9.9820000000000009E-4</v>
      </c>
      <c r="CQ31" s="20">
        <v>9.9820000000000009E-4</v>
      </c>
      <c r="CR31" s="20">
        <v>9.9820000000000009E-4</v>
      </c>
      <c r="CS31" s="20">
        <v>9.9820000000000009E-4</v>
      </c>
      <c r="CT31" s="20">
        <v>9.9820000000000009E-4</v>
      </c>
      <c r="CU31" s="20">
        <v>9.9820000000000009E-4</v>
      </c>
      <c r="CV31" s="20">
        <v>9.9820000000000009E-4</v>
      </c>
      <c r="CW31" s="20">
        <v>9.9820000000000009E-4</v>
      </c>
      <c r="CX31" s="20">
        <v>9.9820000000000009E-4</v>
      </c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16">
        <f>SUM(G31:CN31)</f>
        <v>5.9892000000000009E-3</v>
      </c>
      <c r="DX31" s="17" t="str">
        <f t="shared" si="1"/>
        <v>확인</v>
      </c>
      <c r="DY31" s="17" t="s">
        <v>46</v>
      </c>
    </row>
    <row r="32" spans="1:129" ht="21.95" customHeight="1">
      <c r="A32" s="14" t="s">
        <v>36</v>
      </c>
      <c r="B32" s="14" t="s">
        <v>131</v>
      </c>
      <c r="C32" s="22">
        <v>8167050000</v>
      </c>
      <c r="D32" s="23">
        <v>1.8148999999999998E-2</v>
      </c>
      <c r="E32" s="14"/>
      <c r="F32" s="14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G32" s="15"/>
      <c r="BH32" s="15"/>
      <c r="BI32" s="15"/>
      <c r="BJ32" s="15"/>
      <c r="BK32" s="15"/>
      <c r="BL32" s="15"/>
      <c r="BM32" s="15"/>
      <c r="BN32" s="15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>
        <v>9.9820000000000009E-4</v>
      </c>
      <c r="CB32" s="20">
        <v>9.9820000000000009E-4</v>
      </c>
      <c r="CC32" s="20">
        <v>9.9820000000000009E-4</v>
      </c>
      <c r="CD32" s="20">
        <v>9.9820000000000009E-4</v>
      </c>
      <c r="CE32" s="20">
        <v>9.9820000000000009E-4</v>
      </c>
      <c r="CF32" s="20">
        <v>9.9820000000000009E-4</v>
      </c>
      <c r="CG32" s="20">
        <v>9.9820000000000009E-4</v>
      </c>
      <c r="CH32" s="20">
        <v>9.9820000000000009E-4</v>
      </c>
      <c r="CI32" s="20">
        <v>9.9820000000000009E-4</v>
      </c>
      <c r="CJ32" s="20">
        <v>9.9820000000000009E-4</v>
      </c>
      <c r="CK32" s="20">
        <v>9.9820000000000009E-4</v>
      </c>
      <c r="CL32" s="20">
        <v>9.9820000000000009E-4</v>
      </c>
      <c r="CM32" s="20">
        <v>9.9820000000000009E-4</v>
      </c>
      <c r="CN32" s="20">
        <v>9.9820000000000009E-4</v>
      </c>
      <c r="CO32" s="20">
        <v>9.9820000000000009E-4</v>
      </c>
      <c r="CP32" s="20">
        <v>9.9820000000000009E-4</v>
      </c>
      <c r="CQ32" s="20">
        <v>9.9820000000000009E-4</v>
      </c>
      <c r="CR32" s="20">
        <v>9.9820000000000009E-4</v>
      </c>
      <c r="CS32" s="20">
        <v>9.9820000000000009E-4</v>
      </c>
      <c r="CT32" s="20">
        <v>9.9820000000000009E-4</v>
      </c>
      <c r="CU32" s="20"/>
      <c r="CV32" s="20"/>
      <c r="CW32" s="20"/>
      <c r="CX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16">
        <f>SUM(G32:CN32)</f>
        <v>1.3974799999999997E-2</v>
      </c>
      <c r="DX32" s="17" t="str">
        <f t="shared" si="1"/>
        <v>확인</v>
      </c>
      <c r="DY32" s="17" t="s">
        <v>49</v>
      </c>
    </row>
    <row r="33" spans="1:129" ht="21.95" customHeight="1">
      <c r="A33" s="14" t="s">
        <v>36</v>
      </c>
      <c r="B33" s="14" t="s">
        <v>132</v>
      </c>
      <c r="C33" s="22">
        <v>10208700000</v>
      </c>
      <c r="D33" s="23">
        <v>2.2686000000000001E-2</v>
      </c>
      <c r="E33" s="14"/>
      <c r="F33" s="14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G33" s="15"/>
      <c r="BH33" s="15"/>
      <c r="BI33" s="15"/>
      <c r="BJ33" s="15"/>
      <c r="BK33" s="15"/>
      <c r="BL33" s="15"/>
      <c r="BM33" s="15"/>
      <c r="BN33" s="15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>
        <v>9.9820000000000009E-4</v>
      </c>
      <c r="CJ33" s="20">
        <v>9.9820000000000009E-4</v>
      </c>
      <c r="CK33" s="20">
        <v>9.9820000000000009E-4</v>
      </c>
      <c r="CL33" s="20">
        <v>9.9820000000000009E-4</v>
      </c>
      <c r="CM33" s="20">
        <v>9.9820000000000009E-4</v>
      </c>
      <c r="CN33" s="20">
        <v>9.9820000000000009E-4</v>
      </c>
      <c r="CO33" s="20">
        <v>9.9820000000000009E-4</v>
      </c>
      <c r="CP33" s="20">
        <v>9.9820000000000009E-4</v>
      </c>
      <c r="CQ33" s="20"/>
      <c r="CR33" s="20"/>
      <c r="CS33" s="20"/>
      <c r="CT33" s="20"/>
      <c r="CU33" s="20">
        <v>9.9820000000000009E-4</v>
      </c>
      <c r="CV33" s="20">
        <v>9.9820000000000009E-4</v>
      </c>
      <c r="CW33" s="20">
        <v>9.9820000000000009E-4</v>
      </c>
      <c r="CX33" s="20">
        <v>9.9820000000000009E-4</v>
      </c>
      <c r="CY33" s="20">
        <v>9.9820000000000009E-4</v>
      </c>
      <c r="CZ33" s="20">
        <v>9.9820000000000009E-4</v>
      </c>
      <c r="DA33" s="20">
        <v>9.9820000000000009E-4</v>
      </c>
      <c r="DB33" s="20">
        <v>9.9820000000000009E-4</v>
      </c>
      <c r="DG33" s="20">
        <v>9.9820000000000009E-4</v>
      </c>
      <c r="DH33" s="20">
        <v>9.9820000000000009E-4</v>
      </c>
      <c r="DI33" s="20">
        <v>9.9820000000000009E-4</v>
      </c>
      <c r="DJ33" s="20">
        <v>9.9820000000000009E-4</v>
      </c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16">
        <f>SUM(G33:CN33)</f>
        <v>5.9892000000000009E-3</v>
      </c>
      <c r="DX33" s="17" t="str">
        <f t="shared" si="1"/>
        <v>확인</v>
      </c>
      <c r="DY33" s="17" t="s">
        <v>48</v>
      </c>
    </row>
    <row r="34" spans="1:129" ht="21.95" customHeight="1">
      <c r="A34" s="14" t="s">
        <v>36</v>
      </c>
      <c r="B34" s="14" t="s">
        <v>111</v>
      </c>
      <c r="C34" s="22">
        <v>10208700000</v>
      </c>
      <c r="D34" s="23">
        <v>2.2686000000000001E-2</v>
      </c>
      <c r="E34" s="14"/>
      <c r="F34" s="14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G34" s="15"/>
      <c r="BH34" s="15"/>
      <c r="BI34" s="15"/>
      <c r="BJ34" s="15"/>
      <c r="BK34" s="15"/>
      <c r="BL34" s="15"/>
      <c r="BM34" s="15"/>
      <c r="BN34" s="15"/>
      <c r="BO34" s="20">
        <v>9.9820000000000009E-4</v>
      </c>
      <c r="BP34" s="20">
        <v>9.9820000000000009E-4</v>
      </c>
      <c r="BQ34" s="20">
        <v>9.9820000000000009E-4</v>
      </c>
      <c r="BR34" s="20">
        <v>9.9820000000000009E-4</v>
      </c>
      <c r="BS34" s="20">
        <v>9.9820000000000009E-4</v>
      </c>
      <c r="BT34" s="20">
        <v>9.9820000000000009E-4</v>
      </c>
      <c r="BU34" s="20">
        <v>9.9820000000000009E-4</v>
      </c>
      <c r="BV34" s="20">
        <v>9.9820000000000009E-4</v>
      </c>
      <c r="BW34" s="20">
        <v>9.9820000000000009E-4</v>
      </c>
      <c r="BX34" s="20">
        <v>9.9820000000000009E-4</v>
      </c>
      <c r="BY34" s="20">
        <v>9.9820000000000009E-4</v>
      </c>
      <c r="BZ34" s="20">
        <v>9.9820000000000009E-4</v>
      </c>
      <c r="CA34" s="20">
        <v>9.9820000000000009E-4</v>
      </c>
      <c r="CB34" s="20">
        <v>9.9820000000000009E-4</v>
      </c>
      <c r="CC34" s="20">
        <v>9.9820000000000009E-4</v>
      </c>
      <c r="CD34" s="20">
        <v>9.9820000000000009E-4</v>
      </c>
      <c r="CE34" s="20">
        <v>9.9820000000000009E-4</v>
      </c>
      <c r="CF34" s="20">
        <v>9.9820000000000009E-4</v>
      </c>
      <c r="CG34" s="20">
        <v>9.9820000000000009E-4</v>
      </c>
      <c r="CH34" s="20">
        <v>9.9820000000000009E-4</v>
      </c>
      <c r="CI34" s="20">
        <v>9.9820000000000009E-4</v>
      </c>
      <c r="CJ34" s="20">
        <v>9.9820000000000009E-4</v>
      </c>
      <c r="CK34" s="20">
        <v>9.9820000000000009E-4</v>
      </c>
      <c r="CL34" s="20">
        <v>9.9820000000000009E-4</v>
      </c>
      <c r="CM34" s="20">
        <v>9.9820000000000009E-4</v>
      </c>
      <c r="CN34" s="20">
        <v>9.9820000000000009E-4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16">
        <f>SUM(G34:CN34)</f>
        <v>2.595320000000001E-2</v>
      </c>
      <c r="DX34" s="17" t="str">
        <f t="shared" si="1"/>
        <v>확인</v>
      </c>
      <c r="DY34" s="17" t="s">
        <v>48</v>
      </c>
    </row>
    <row r="35" spans="1:129" ht="21.95" customHeight="1">
      <c r="A35" s="14" t="s">
        <v>36</v>
      </c>
      <c r="B35" s="14" t="s">
        <v>112</v>
      </c>
      <c r="C35" s="22">
        <v>10208700000</v>
      </c>
      <c r="D35" s="23">
        <v>2.2686000000000001E-2</v>
      </c>
      <c r="E35" s="14"/>
      <c r="F35" s="14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20">
        <v>9.9820000000000009E-4</v>
      </c>
      <c r="CV35" s="20">
        <v>9.9820000000000009E-4</v>
      </c>
      <c r="CW35" s="20">
        <v>9.9820000000000009E-4</v>
      </c>
      <c r="CX35" s="20">
        <v>9.9820000000000009E-4</v>
      </c>
      <c r="CY35" s="20">
        <v>9.9820000000000009E-4</v>
      </c>
      <c r="CZ35" s="20">
        <v>9.9820000000000009E-4</v>
      </c>
      <c r="DA35" s="20">
        <v>9.9820000000000009E-4</v>
      </c>
      <c r="DB35" s="20">
        <v>9.9820000000000009E-4</v>
      </c>
      <c r="DC35" s="20">
        <v>9.9820000000000009E-4</v>
      </c>
      <c r="DD35" s="20">
        <v>9.9820000000000009E-4</v>
      </c>
      <c r="DE35" s="20">
        <v>9.9820000000000009E-4</v>
      </c>
      <c r="DF35" s="20">
        <v>9.9820000000000009E-4</v>
      </c>
      <c r="DG35" s="20">
        <v>9.9820000000000009E-4</v>
      </c>
      <c r="DH35" s="20">
        <v>9.9820000000000009E-4</v>
      </c>
      <c r="DI35" s="20">
        <v>9.9820000000000009E-4</v>
      </c>
      <c r="DJ35" s="20">
        <v>9.9820000000000009E-4</v>
      </c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6">
        <f>SUM(G35:CX35)</f>
        <v>3.9928000000000003E-3</v>
      </c>
      <c r="DX35" s="17" t="str">
        <f t="shared" si="1"/>
        <v>확인</v>
      </c>
      <c r="DY35" s="17" t="s">
        <v>48</v>
      </c>
    </row>
    <row r="36" spans="1:129" ht="21.95" customHeight="1">
      <c r="A36" s="14" t="s">
        <v>36</v>
      </c>
      <c r="B36" s="14" t="s">
        <v>124</v>
      </c>
      <c r="C36" s="22">
        <v>14292000000</v>
      </c>
      <c r="D36" s="23">
        <v>3.1759999999999997E-2</v>
      </c>
      <c r="E36" s="14" t="s">
        <v>82</v>
      </c>
      <c r="F36" s="14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DG36" s="20"/>
      <c r="DH36" s="20"/>
      <c r="DI36" s="20"/>
      <c r="DJ36" s="20"/>
      <c r="DK36" s="20">
        <v>9.9820000000000009E-4</v>
      </c>
      <c r="DL36" s="20">
        <v>9.9820000000000009E-4</v>
      </c>
      <c r="DM36" s="20">
        <v>9.9820000000000009E-4</v>
      </c>
      <c r="DN36" s="20">
        <v>9.9820000000000009E-4</v>
      </c>
      <c r="DO36" s="20">
        <v>9.9820000000000009E-4</v>
      </c>
      <c r="DP36" s="20">
        <v>9.9820000000000009E-4</v>
      </c>
      <c r="DQ36" s="20">
        <v>9.9820000000000009E-4</v>
      </c>
      <c r="DR36" s="20">
        <v>9.9820000000000009E-4</v>
      </c>
      <c r="DS36" s="20">
        <v>9.9820000000000009E-4</v>
      </c>
      <c r="DT36" s="20">
        <v>9.9820000000000009E-4</v>
      </c>
      <c r="DU36" s="20">
        <v>9.9820000000000009E-4</v>
      </c>
      <c r="DV36" s="20">
        <v>9.9820000000000009E-4</v>
      </c>
      <c r="DW36" s="16">
        <f>SUM(G36:CX36)</f>
        <v>0</v>
      </c>
      <c r="DX36" s="17" t="str">
        <f t="shared" si="1"/>
        <v>확인</v>
      </c>
      <c r="DY36" s="17" t="s">
        <v>49</v>
      </c>
    </row>
    <row r="37" spans="1:129" ht="21.95" customHeight="1">
      <c r="A37" s="14" t="s">
        <v>36</v>
      </c>
      <c r="B37" s="14" t="s">
        <v>4</v>
      </c>
      <c r="C37" s="22">
        <v>7350300000</v>
      </c>
      <c r="D37" s="23">
        <v>1.6334000000000001E-2</v>
      </c>
      <c r="E37" s="14"/>
      <c r="F37" s="14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20"/>
      <c r="AY37" s="20"/>
      <c r="AZ37" s="20"/>
      <c r="BA37" s="20"/>
      <c r="BB37" s="20"/>
      <c r="BG37" s="20"/>
      <c r="BH37" s="20"/>
      <c r="BI37" s="20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20">
        <v>9.9820000000000009E-4</v>
      </c>
      <c r="CB37" s="20">
        <v>9.9820000000000009E-4</v>
      </c>
      <c r="CC37" s="20">
        <v>9.9820000000000009E-4</v>
      </c>
      <c r="CD37" s="20">
        <v>9.9820000000000009E-4</v>
      </c>
      <c r="CE37" s="20">
        <v>9.9820000000000009E-4</v>
      </c>
      <c r="CF37" s="20">
        <v>9.9820000000000009E-4</v>
      </c>
      <c r="CG37" s="20">
        <v>9.9820000000000009E-4</v>
      </c>
      <c r="CH37" s="20">
        <v>9.9820000000000009E-4</v>
      </c>
      <c r="CI37" s="20">
        <v>9.9820000000000009E-4</v>
      </c>
      <c r="CJ37" s="20">
        <v>9.9820000000000009E-4</v>
      </c>
      <c r="CK37" s="20">
        <v>9.9820000000000009E-4</v>
      </c>
      <c r="CL37" s="20">
        <v>9.9820000000000009E-4</v>
      </c>
      <c r="CM37" s="20">
        <v>9.9820000000000009E-4</v>
      </c>
      <c r="CN37" s="20">
        <v>9.9820000000000009E-4</v>
      </c>
      <c r="CO37" s="20">
        <v>9.9820000000000009E-4</v>
      </c>
      <c r="CP37" s="20">
        <v>9.9820000000000009E-4</v>
      </c>
      <c r="CQ37" s="20">
        <v>9.9820000000000009E-4</v>
      </c>
      <c r="CR37" s="20">
        <v>9.9820000000000009E-4</v>
      </c>
      <c r="CS37" s="20">
        <v>9.9820000000000009E-4</v>
      </c>
      <c r="CT37" s="20">
        <v>9.9820000000000009E-4</v>
      </c>
      <c r="CU37" s="20">
        <v>9.9820000000000009E-4</v>
      </c>
      <c r="CV37" s="20">
        <v>9.9820000000000009E-4</v>
      </c>
      <c r="CW37" s="20">
        <v>9.9820000000000009E-4</v>
      </c>
      <c r="CX37" s="20">
        <v>9.9820000000000009E-4</v>
      </c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6">
        <f>SUM(G37:CX37)</f>
        <v>2.3956800000000007E-2</v>
      </c>
      <c r="DX37" s="17" t="str">
        <f t="shared" si="1"/>
        <v>확인</v>
      </c>
      <c r="DY37" s="17" t="s">
        <v>48</v>
      </c>
    </row>
    <row r="38" spans="1:129" ht="21.95" customHeight="1">
      <c r="A38" s="14" t="s">
        <v>50</v>
      </c>
      <c r="B38" s="14" t="s">
        <v>83</v>
      </c>
      <c r="C38" s="22">
        <v>16334100000</v>
      </c>
      <c r="D38" s="23">
        <v>3.6297999999999997E-2</v>
      </c>
      <c r="E38" s="14"/>
      <c r="F38" s="14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Y38" s="20">
        <v>9.9820000000000009E-4</v>
      </c>
      <c r="AZ38" s="20">
        <v>9.9820000000000009E-4</v>
      </c>
      <c r="BA38" s="20">
        <v>9.9820000000000009E-4</v>
      </c>
      <c r="BB38" s="20">
        <v>9.9820000000000009E-4</v>
      </c>
      <c r="BC38" s="20">
        <v>9.9820000000000009E-4</v>
      </c>
      <c r="BD38" s="20">
        <v>9.9820000000000009E-4</v>
      </c>
      <c r="BE38" s="20">
        <v>9.9820000000000009E-4</v>
      </c>
      <c r="BF38" s="20">
        <v>9.9820000000000009E-4</v>
      </c>
      <c r="BG38" s="20">
        <v>9.9820000000000009E-4</v>
      </c>
      <c r="BH38" s="20">
        <v>9.9820000000000009E-4</v>
      </c>
      <c r="BI38" s="20">
        <v>9.9820000000000009E-4</v>
      </c>
      <c r="BJ38" s="20">
        <v>9.9820000000000009E-4</v>
      </c>
      <c r="BK38" s="20">
        <v>9.9820000000000009E-4</v>
      </c>
      <c r="BL38" s="20">
        <v>9.9820000000000009E-4</v>
      </c>
      <c r="BM38" s="20">
        <v>9.9820000000000009E-4</v>
      </c>
      <c r="BN38" s="20">
        <v>9.9820000000000009E-4</v>
      </c>
      <c r="BO38" s="20">
        <v>9.9820000000000009E-4</v>
      </c>
      <c r="BP38" s="20">
        <v>9.9820000000000009E-4</v>
      </c>
      <c r="BQ38" s="20">
        <v>9.9820000000000009E-4</v>
      </c>
      <c r="BR38" s="20">
        <v>9.9820000000000009E-4</v>
      </c>
      <c r="BS38" s="20">
        <v>9.9820000000000009E-4</v>
      </c>
      <c r="BT38" s="20">
        <v>9.9820000000000009E-4</v>
      </c>
      <c r="BU38" s="15"/>
      <c r="BV38" s="15"/>
      <c r="BW38" s="15"/>
      <c r="BX38" s="15"/>
      <c r="BY38" s="15"/>
      <c r="BZ38" s="15"/>
      <c r="CA38" s="15"/>
      <c r="CB38" s="15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6">
        <f t="shared" ref="DW38:DW44" si="3">SUM(G38:CT38)</f>
        <v>2.1960400000000005E-2</v>
      </c>
      <c r="DX38" s="17" t="str">
        <f t="shared" si="1"/>
        <v>확인</v>
      </c>
      <c r="DY38" s="17" t="s">
        <v>41</v>
      </c>
    </row>
    <row r="39" spans="1:129" ht="21.95" customHeight="1">
      <c r="A39" s="14" t="s">
        <v>50</v>
      </c>
      <c r="B39" s="14" t="s">
        <v>85</v>
      </c>
      <c r="C39" s="22">
        <v>13067100000</v>
      </c>
      <c r="D39" s="23">
        <v>2.9038000000000001E-2</v>
      </c>
      <c r="E39" s="14"/>
      <c r="F39" s="14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Y39" s="20">
        <v>9.9820000000000009E-4</v>
      </c>
      <c r="AZ39" s="20">
        <v>9.9820000000000009E-4</v>
      </c>
      <c r="BA39" s="20">
        <v>9.9820000000000009E-4</v>
      </c>
      <c r="BB39" s="20">
        <v>9.9820000000000009E-4</v>
      </c>
      <c r="BC39" s="20">
        <v>9.9820000000000009E-4</v>
      </c>
      <c r="BD39" s="20">
        <v>9.9820000000000009E-4</v>
      </c>
      <c r="BE39" s="20">
        <v>9.9820000000000009E-4</v>
      </c>
      <c r="BF39" s="20">
        <v>9.9820000000000009E-4</v>
      </c>
      <c r="BG39" s="20">
        <v>9.9820000000000009E-4</v>
      </c>
      <c r="BH39" s="20">
        <v>9.9820000000000009E-4</v>
      </c>
      <c r="BI39" s="20">
        <v>9.9820000000000009E-4</v>
      </c>
      <c r="BJ39" s="20">
        <v>9.9820000000000009E-4</v>
      </c>
      <c r="BK39" s="20">
        <v>9.9820000000000009E-4</v>
      </c>
      <c r="BL39" s="20">
        <v>9.9820000000000009E-4</v>
      </c>
      <c r="BM39" s="20">
        <v>9.9820000000000009E-4</v>
      </c>
      <c r="BN39" s="20">
        <v>9.9820000000000009E-4</v>
      </c>
      <c r="BO39" s="20">
        <v>9.9820000000000009E-4</v>
      </c>
      <c r="BP39" s="20">
        <v>9.9820000000000009E-4</v>
      </c>
      <c r="BQ39" s="20">
        <v>9.9820000000000009E-4</v>
      </c>
      <c r="BR39" s="20">
        <v>9.9820000000000009E-4</v>
      </c>
      <c r="BS39" s="20">
        <v>9.9820000000000009E-4</v>
      </c>
      <c r="BT39" s="20">
        <v>9.9820000000000009E-4</v>
      </c>
      <c r="BU39" s="15"/>
      <c r="BV39" s="15"/>
      <c r="BW39" s="15"/>
      <c r="BX39" s="15"/>
      <c r="BY39" s="15"/>
      <c r="BZ39" s="15"/>
      <c r="CA39" s="15"/>
      <c r="CB39" s="15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6">
        <f t="shared" si="3"/>
        <v>2.1960400000000005E-2</v>
      </c>
      <c r="DX39" s="17" t="str">
        <f t="shared" si="1"/>
        <v>확인</v>
      </c>
      <c r="DY39" s="17" t="s">
        <v>42</v>
      </c>
    </row>
    <row r="40" spans="1:129" ht="21.95" customHeight="1">
      <c r="A40" s="14" t="s">
        <v>50</v>
      </c>
      <c r="B40" s="14" t="s">
        <v>43</v>
      </c>
      <c r="C40" s="22">
        <v>8167050000</v>
      </c>
      <c r="D40" s="23">
        <v>1.8148999999999998E-2</v>
      </c>
      <c r="E40" s="14"/>
      <c r="F40" s="14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Y40" s="15"/>
      <c r="AZ40" s="15"/>
      <c r="BA40" s="15"/>
      <c r="BB40" s="15"/>
      <c r="BC40" s="20">
        <v>9.9820000000000009E-4</v>
      </c>
      <c r="BD40" s="20">
        <v>9.9820000000000009E-4</v>
      </c>
      <c r="BE40" s="20">
        <v>9.9820000000000009E-4</v>
      </c>
      <c r="BF40" s="20">
        <v>9.9820000000000009E-4</v>
      </c>
      <c r="BG40" s="20">
        <v>9.9820000000000009E-4</v>
      </c>
      <c r="BH40" s="20">
        <v>9.9820000000000009E-4</v>
      </c>
      <c r="BI40" s="20">
        <v>9.9820000000000009E-4</v>
      </c>
      <c r="BJ40" s="20">
        <v>9.9820000000000009E-4</v>
      </c>
      <c r="BK40" s="20">
        <v>9.9820000000000009E-4</v>
      </c>
      <c r="BL40" s="20">
        <v>9.9820000000000009E-4</v>
      </c>
      <c r="BM40" s="20">
        <v>9.9820000000000009E-4</v>
      </c>
      <c r="BN40" s="20">
        <v>9.9820000000000009E-4</v>
      </c>
      <c r="BO40" s="20">
        <v>9.9820000000000009E-4</v>
      </c>
      <c r="BP40" s="20">
        <v>9.9820000000000009E-4</v>
      </c>
      <c r="BQ40" s="20">
        <v>9.9820000000000009E-4</v>
      </c>
      <c r="BR40" s="20">
        <v>9.9820000000000009E-4</v>
      </c>
      <c r="BS40" s="20">
        <v>9.9820000000000009E-4</v>
      </c>
      <c r="BT40" s="20">
        <v>9.9820000000000009E-4</v>
      </c>
      <c r="BU40" s="20">
        <v>9.9820000000000009E-4</v>
      </c>
      <c r="BV40" s="20">
        <v>9.9820000000000009E-4</v>
      </c>
      <c r="BW40" s="20">
        <v>9.9820000000000009E-4</v>
      </c>
      <c r="BX40" s="20">
        <v>9.9820000000000009E-4</v>
      </c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6">
        <f t="shared" si="3"/>
        <v>2.1960400000000005E-2</v>
      </c>
      <c r="DX40" s="17" t="str">
        <f t="shared" si="1"/>
        <v>확인</v>
      </c>
      <c r="DY40" s="17" t="s">
        <v>42</v>
      </c>
    </row>
    <row r="41" spans="1:129" ht="21.95" customHeight="1">
      <c r="A41" s="14" t="s">
        <v>50</v>
      </c>
      <c r="B41" s="14" t="s">
        <v>3</v>
      </c>
      <c r="C41" s="22">
        <v>7350300000</v>
      </c>
      <c r="D41" s="23">
        <v>1.6334000000000001E-2</v>
      </c>
      <c r="E41" s="14"/>
      <c r="F41" s="14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Y41" s="15"/>
      <c r="AZ41" s="15"/>
      <c r="BA41" s="15"/>
      <c r="BB41" s="15"/>
      <c r="BC41" s="15"/>
      <c r="BD41" s="15"/>
      <c r="BE41" s="15"/>
      <c r="BF41" s="15"/>
      <c r="BG41" s="20">
        <v>9.9820000000000009E-4</v>
      </c>
      <c r="BH41" s="20">
        <v>9.9820000000000009E-4</v>
      </c>
      <c r="BI41" s="20">
        <v>9.9820000000000009E-4</v>
      </c>
      <c r="BJ41" s="20">
        <v>9.9820000000000009E-4</v>
      </c>
      <c r="BK41" s="20">
        <v>9.9820000000000009E-4</v>
      </c>
      <c r="BL41" s="20">
        <v>9.9820000000000009E-4</v>
      </c>
      <c r="BM41" s="20">
        <v>9.9820000000000009E-4</v>
      </c>
      <c r="BN41" s="20">
        <v>9.9820000000000009E-4</v>
      </c>
      <c r="BO41" s="20">
        <v>9.9820000000000009E-4</v>
      </c>
      <c r="BP41" s="20">
        <v>9.9820000000000009E-4</v>
      </c>
      <c r="BQ41" s="20">
        <v>9.9820000000000009E-4</v>
      </c>
      <c r="BR41" s="20">
        <v>9.9820000000000009E-4</v>
      </c>
      <c r="BS41" s="20">
        <v>9.9820000000000009E-4</v>
      </c>
      <c r="BT41" s="20">
        <v>9.9820000000000009E-4</v>
      </c>
      <c r="BU41" s="20">
        <v>9.9820000000000009E-4</v>
      </c>
      <c r="BV41" s="20">
        <v>9.9820000000000009E-4</v>
      </c>
      <c r="BW41" s="20">
        <v>9.9820000000000009E-4</v>
      </c>
      <c r="BX41" s="20">
        <v>9.9820000000000009E-4</v>
      </c>
      <c r="BY41" s="20">
        <v>9.9820000000000009E-4</v>
      </c>
      <c r="BZ41" s="20">
        <v>9.9820000000000009E-4</v>
      </c>
      <c r="CA41" s="20">
        <v>9.9820000000000009E-4</v>
      </c>
      <c r="CB41" s="20">
        <v>9.9820000000000009E-4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6">
        <f t="shared" si="3"/>
        <v>2.1960400000000005E-2</v>
      </c>
      <c r="DX41" s="17" t="str">
        <f t="shared" si="1"/>
        <v>확인</v>
      </c>
      <c r="DY41" s="17" t="s">
        <v>31</v>
      </c>
    </row>
    <row r="42" spans="1:129" ht="21.95" customHeight="1">
      <c r="A42" s="14" t="s">
        <v>50</v>
      </c>
      <c r="B42" s="14" t="s">
        <v>84</v>
      </c>
      <c r="C42" s="22">
        <v>4083300000</v>
      </c>
      <c r="D42" s="23">
        <v>9.0740000000000005E-3</v>
      </c>
      <c r="E42" s="14"/>
      <c r="F42" s="14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Y42" s="15"/>
      <c r="AZ42" s="15"/>
      <c r="BA42" s="15"/>
      <c r="BB42" s="15"/>
      <c r="BC42" s="15"/>
      <c r="BD42" s="15"/>
      <c r="BE42" s="15"/>
      <c r="BF42" s="15"/>
      <c r="BG42" s="20">
        <v>9.9820000000000009E-4</v>
      </c>
      <c r="BH42" s="20">
        <v>9.9820000000000009E-4</v>
      </c>
      <c r="BI42" s="20">
        <v>9.9820000000000009E-4</v>
      </c>
      <c r="BJ42" s="20">
        <v>9.9820000000000009E-4</v>
      </c>
      <c r="BK42" s="20">
        <v>9.9820000000000009E-4</v>
      </c>
      <c r="BL42" s="20">
        <v>9.9820000000000009E-4</v>
      </c>
      <c r="BM42" s="20">
        <v>9.9820000000000009E-4</v>
      </c>
      <c r="BN42" s="20">
        <v>9.9820000000000009E-4</v>
      </c>
      <c r="BO42" s="20">
        <v>9.9820000000000009E-4</v>
      </c>
      <c r="BP42" s="20">
        <v>9.9820000000000009E-4</v>
      </c>
      <c r="BQ42" s="20">
        <v>9.9820000000000009E-4</v>
      </c>
      <c r="BR42" s="20">
        <v>9.9820000000000009E-4</v>
      </c>
      <c r="BS42" s="20">
        <v>9.9820000000000009E-4</v>
      </c>
      <c r="BT42" s="20">
        <v>9.9820000000000009E-4</v>
      </c>
      <c r="BU42" s="20">
        <v>9.9820000000000009E-4</v>
      </c>
      <c r="BV42" s="20">
        <v>9.9820000000000009E-4</v>
      </c>
      <c r="BW42" s="20">
        <v>9.9820000000000009E-4</v>
      </c>
      <c r="BX42" s="20">
        <v>9.9820000000000009E-4</v>
      </c>
      <c r="BY42" s="20">
        <v>9.9820000000000009E-4</v>
      </c>
      <c r="BZ42" s="20">
        <v>9.9820000000000009E-4</v>
      </c>
      <c r="CA42" s="20">
        <v>9.9820000000000009E-4</v>
      </c>
      <c r="CB42" s="20">
        <v>9.9820000000000009E-4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6">
        <f t="shared" si="3"/>
        <v>2.1960400000000005E-2</v>
      </c>
      <c r="DX42" s="17" t="str">
        <f t="shared" si="1"/>
        <v>확인</v>
      </c>
      <c r="DY42" s="17" t="s">
        <v>49</v>
      </c>
    </row>
    <row r="43" spans="1:129" ht="21.95" customHeight="1">
      <c r="A43" s="14" t="s">
        <v>44</v>
      </c>
      <c r="B43" s="14" t="s">
        <v>87</v>
      </c>
      <c r="C43" s="22">
        <v>15517350000</v>
      </c>
      <c r="D43" s="23">
        <v>3.4483E-2</v>
      </c>
      <c r="E43" s="14"/>
      <c r="F43" s="14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Y43" s="15"/>
      <c r="AZ43" s="15"/>
      <c r="BA43" s="15"/>
      <c r="BB43" s="15"/>
      <c r="BC43" s="15"/>
      <c r="BD43" s="15"/>
      <c r="BE43" s="15"/>
      <c r="BF43" s="15"/>
      <c r="BG43" s="20">
        <v>9.9820000000000009E-4</v>
      </c>
      <c r="BH43" s="20">
        <v>9.9820000000000009E-4</v>
      </c>
      <c r="BI43" s="20">
        <v>9.9820000000000009E-4</v>
      </c>
      <c r="BJ43" s="20">
        <v>9.9820000000000009E-4</v>
      </c>
      <c r="BK43" s="20">
        <v>9.9820000000000009E-4</v>
      </c>
      <c r="BL43" s="20">
        <v>9.9820000000000009E-4</v>
      </c>
      <c r="BM43" s="20">
        <v>9.9820000000000009E-4</v>
      </c>
      <c r="BN43" s="20">
        <v>9.9820000000000009E-4</v>
      </c>
      <c r="BO43" s="20">
        <v>9.9820000000000009E-4</v>
      </c>
      <c r="BP43" s="20">
        <v>9.9820000000000009E-4</v>
      </c>
      <c r="BQ43" s="20">
        <v>9.9820000000000009E-4</v>
      </c>
      <c r="BR43" s="20">
        <v>9.9820000000000009E-4</v>
      </c>
      <c r="BS43" s="20">
        <v>9.9820000000000009E-4</v>
      </c>
      <c r="BT43" s="20">
        <v>9.9820000000000009E-4</v>
      </c>
      <c r="BU43" s="20">
        <v>9.9820000000000009E-4</v>
      </c>
      <c r="BV43" s="20">
        <v>9.9820000000000009E-4</v>
      </c>
      <c r="BW43" s="20">
        <v>9.9820000000000009E-4</v>
      </c>
      <c r="BX43" s="20">
        <v>9.9820000000000009E-4</v>
      </c>
      <c r="BY43" s="20">
        <v>9.9820000000000009E-4</v>
      </c>
      <c r="BZ43" s="20">
        <v>9.9820000000000009E-4</v>
      </c>
      <c r="CA43" s="20">
        <v>9.9820000000000009E-4</v>
      </c>
      <c r="CB43" s="20">
        <v>9.9820000000000009E-4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6">
        <f t="shared" si="3"/>
        <v>2.1960400000000005E-2</v>
      </c>
      <c r="DX43" s="17" t="str">
        <f t="shared" si="1"/>
        <v>확인</v>
      </c>
      <c r="DY43" s="17" t="s">
        <v>56</v>
      </c>
    </row>
    <row r="44" spans="1:129" ht="21.95" customHeight="1">
      <c r="A44" s="14" t="s">
        <v>44</v>
      </c>
      <c r="B44" s="14" t="s">
        <v>86</v>
      </c>
      <c r="C44" s="22">
        <v>12250350000</v>
      </c>
      <c r="D44" s="23">
        <v>2.7223000000000001E-2</v>
      </c>
      <c r="E44" s="14"/>
      <c r="F44" s="14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20">
        <v>9.9820000000000009E-4</v>
      </c>
      <c r="CB44" s="20">
        <v>9.9820000000000009E-4</v>
      </c>
      <c r="CC44" s="20">
        <v>9.9820000000000009E-4</v>
      </c>
      <c r="CD44" s="20">
        <v>9.9820000000000009E-4</v>
      </c>
      <c r="CE44" s="20">
        <v>9.9820000000000009E-4</v>
      </c>
      <c r="CF44" s="20">
        <v>9.9820000000000009E-4</v>
      </c>
      <c r="CG44" s="20">
        <v>9.9820000000000009E-4</v>
      </c>
      <c r="CH44" s="20">
        <v>9.9820000000000009E-4</v>
      </c>
      <c r="CI44" s="20">
        <v>9.9820000000000009E-4</v>
      </c>
      <c r="CJ44" s="20">
        <v>9.9820000000000009E-4</v>
      </c>
      <c r="CK44" s="20">
        <v>9.9820000000000009E-4</v>
      </c>
      <c r="CL44" s="20">
        <v>9.9820000000000009E-4</v>
      </c>
      <c r="CM44" s="20">
        <v>9.9820000000000009E-4</v>
      </c>
      <c r="CN44" s="20">
        <v>9.9820000000000009E-4</v>
      </c>
      <c r="CO44" s="20">
        <v>9.9820000000000009E-4</v>
      </c>
      <c r="CP44" s="20">
        <v>9.9820000000000009E-4</v>
      </c>
      <c r="CQ44" s="20">
        <v>9.9820000000000009E-4</v>
      </c>
      <c r="CR44" s="20">
        <v>9.9820000000000009E-4</v>
      </c>
      <c r="CS44" s="20">
        <v>9.9820000000000009E-4</v>
      </c>
      <c r="CT44" s="20">
        <v>9.9820000000000009E-4</v>
      </c>
      <c r="CU44" s="20">
        <v>9.9820000000000009E-4</v>
      </c>
      <c r="CV44" s="20">
        <v>9.9820000000000009E-4</v>
      </c>
      <c r="CW44" s="20">
        <v>9.9820000000000009E-4</v>
      </c>
      <c r="CX44" s="20">
        <v>9.9820000000000009E-4</v>
      </c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6">
        <f t="shared" si="3"/>
        <v>1.9964000000000003E-2</v>
      </c>
      <c r="DX44" s="17" t="str">
        <f t="shared" si="1"/>
        <v>확인</v>
      </c>
      <c r="DY44" s="17" t="s">
        <v>51</v>
      </c>
    </row>
    <row r="45" spans="1:129" ht="21.95" customHeight="1">
      <c r="A45" s="14" t="s">
        <v>44</v>
      </c>
      <c r="B45" s="14" t="s">
        <v>6</v>
      </c>
      <c r="C45" s="22">
        <v>8983800000</v>
      </c>
      <c r="D45" s="23">
        <v>1.9963999999999999E-2</v>
      </c>
      <c r="E45" s="14"/>
      <c r="F45" s="14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20">
        <v>9.9820000000000009E-4</v>
      </c>
      <c r="BP45" s="20">
        <v>9.9820000000000009E-4</v>
      </c>
      <c r="BQ45" s="20">
        <v>9.9820000000000009E-4</v>
      </c>
      <c r="BR45" s="20">
        <v>9.9820000000000009E-4</v>
      </c>
      <c r="BS45" s="20">
        <v>9.9820000000000009E-4</v>
      </c>
      <c r="BT45" s="20">
        <v>9.9820000000000009E-4</v>
      </c>
      <c r="BU45" s="20">
        <v>9.9820000000000009E-4</v>
      </c>
      <c r="BV45" s="20">
        <v>9.9820000000000009E-4</v>
      </c>
      <c r="BW45" s="20">
        <v>9.9820000000000009E-4</v>
      </c>
      <c r="BX45" s="20">
        <v>9.9820000000000009E-4</v>
      </c>
      <c r="BY45" s="20">
        <v>9.9820000000000009E-4</v>
      </c>
      <c r="BZ45" s="20">
        <v>9.9820000000000009E-4</v>
      </c>
      <c r="CA45" s="20">
        <v>9.9820000000000009E-4</v>
      </c>
      <c r="CB45" s="20">
        <v>9.9820000000000009E-4</v>
      </c>
      <c r="CC45" s="20">
        <v>9.9820000000000009E-4</v>
      </c>
      <c r="CD45" s="20">
        <v>9.9820000000000009E-4</v>
      </c>
      <c r="CE45" s="20">
        <v>9.9820000000000009E-4</v>
      </c>
      <c r="CF45" s="20">
        <v>9.9820000000000009E-4</v>
      </c>
      <c r="CG45" s="20">
        <v>9.9820000000000009E-4</v>
      </c>
      <c r="CH45" s="20">
        <v>9.9820000000000009E-4</v>
      </c>
      <c r="CI45" s="20">
        <v>9.9820000000000009E-4</v>
      </c>
      <c r="CJ45" s="20">
        <v>9.9820000000000009E-4</v>
      </c>
      <c r="CK45" s="20">
        <v>9.9820000000000009E-4</v>
      </c>
      <c r="CL45" s="20">
        <v>9.9820000000000009E-4</v>
      </c>
      <c r="CM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6">
        <f>SUM(G45:CD45)</f>
        <v>1.5971199999999998E-2</v>
      </c>
      <c r="DX45" s="17" t="str">
        <f t="shared" si="1"/>
        <v>확인</v>
      </c>
      <c r="DY45" s="17" t="s">
        <v>46</v>
      </c>
    </row>
    <row r="46" spans="1:129" ht="21.95" customHeight="1">
      <c r="A46" s="14" t="s">
        <v>44</v>
      </c>
      <c r="B46" s="14" t="s">
        <v>91</v>
      </c>
      <c r="C46" s="22">
        <v>6125400000</v>
      </c>
      <c r="D46" s="23">
        <v>1.3612000000000001E-2</v>
      </c>
      <c r="E46" s="14"/>
      <c r="F46" s="14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20">
        <v>9.9820000000000009E-4</v>
      </c>
      <c r="BP46" s="20">
        <v>9.9820000000000009E-4</v>
      </c>
      <c r="BQ46" s="20">
        <v>9.9820000000000009E-4</v>
      </c>
      <c r="BR46" s="20">
        <v>9.9820000000000009E-4</v>
      </c>
      <c r="BS46" s="20">
        <v>9.9820000000000009E-4</v>
      </c>
      <c r="BT46" s="20">
        <v>9.9820000000000009E-4</v>
      </c>
      <c r="BU46" s="20">
        <v>9.9820000000000009E-4</v>
      </c>
      <c r="BV46" s="20">
        <v>9.9820000000000009E-4</v>
      </c>
      <c r="BW46" s="20">
        <v>9.9820000000000009E-4</v>
      </c>
      <c r="BX46" s="20">
        <v>9.9820000000000009E-4</v>
      </c>
      <c r="BY46" s="20">
        <v>9.9820000000000009E-4</v>
      </c>
      <c r="BZ46" s="20">
        <v>9.9820000000000009E-4</v>
      </c>
      <c r="CA46" s="20">
        <v>9.9820000000000009E-4</v>
      </c>
      <c r="CB46" s="20">
        <v>9.9820000000000009E-4</v>
      </c>
      <c r="CC46" s="20">
        <v>9.9820000000000009E-4</v>
      </c>
      <c r="CD46" s="20">
        <v>9.9820000000000009E-4</v>
      </c>
      <c r="CE46" s="20">
        <v>9.9820000000000009E-4</v>
      </c>
      <c r="CF46" s="20">
        <v>9.9820000000000009E-4</v>
      </c>
      <c r="CG46" s="20">
        <v>9.9820000000000009E-4</v>
      </c>
      <c r="CH46" s="20">
        <v>9.9820000000000009E-4</v>
      </c>
      <c r="CI46" s="20">
        <v>9.9820000000000009E-4</v>
      </c>
      <c r="CJ46" s="20">
        <v>9.9820000000000009E-4</v>
      </c>
      <c r="CK46" s="20">
        <v>9.9820000000000009E-4</v>
      </c>
      <c r="CL46" s="20">
        <v>9.9820000000000009E-4</v>
      </c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6">
        <f>SUM(G46:CD46)</f>
        <v>1.5971199999999998E-2</v>
      </c>
      <c r="DX46" s="17" t="str">
        <f t="shared" si="1"/>
        <v>확인</v>
      </c>
      <c r="DY46" s="17" t="s">
        <v>47</v>
      </c>
    </row>
    <row r="47" spans="1:129" ht="21.95" customHeight="1">
      <c r="A47" s="14" t="s">
        <v>44</v>
      </c>
      <c r="B47" s="14" t="s">
        <v>89</v>
      </c>
      <c r="C47" s="22">
        <v>4083300000</v>
      </c>
      <c r="D47" s="23">
        <v>9.0740000000000005E-3</v>
      </c>
      <c r="E47" s="14" t="s">
        <v>55</v>
      </c>
      <c r="F47" s="14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20">
        <v>9.9820000000000009E-4</v>
      </c>
      <c r="BP47" s="20">
        <v>9.9820000000000009E-4</v>
      </c>
      <c r="BQ47" s="20">
        <v>9.9820000000000009E-4</v>
      </c>
      <c r="BR47" s="20">
        <v>9.9820000000000009E-4</v>
      </c>
      <c r="BS47" s="20">
        <v>9.9820000000000009E-4</v>
      </c>
      <c r="BT47" s="20">
        <v>9.9820000000000009E-4</v>
      </c>
      <c r="BU47" s="20">
        <v>9.9820000000000009E-4</v>
      </c>
      <c r="BV47" s="20">
        <v>9.9820000000000009E-4</v>
      </c>
      <c r="BW47" s="20">
        <v>9.9820000000000009E-4</v>
      </c>
      <c r="BX47" s="20">
        <v>9.9820000000000009E-4</v>
      </c>
      <c r="BY47" s="20">
        <v>9.9820000000000009E-4</v>
      </c>
      <c r="BZ47" s="20">
        <v>9.9820000000000009E-4</v>
      </c>
      <c r="CA47" s="20">
        <v>9.9820000000000009E-4</v>
      </c>
      <c r="CB47" s="20">
        <v>9.9820000000000009E-4</v>
      </c>
      <c r="CC47" s="20">
        <v>9.9820000000000009E-4</v>
      </c>
      <c r="CD47" s="20">
        <v>9.9820000000000009E-4</v>
      </c>
      <c r="CE47" s="20">
        <v>9.9820000000000009E-4</v>
      </c>
      <c r="CF47" s="20">
        <v>9.9820000000000009E-4</v>
      </c>
      <c r="CG47" s="20">
        <v>9.9820000000000009E-4</v>
      </c>
      <c r="CH47" s="20">
        <v>9.9820000000000009E-4</v>
      </c>
      <c r="CI47" s="20">
        <v>9.9820000000000009E-4</v>
      </c>
      <c r="CJ47" s="20">
        <v>9.9820000000000009E-4</v>
      </c>
      <c r="CK47" s="20">
        <v>9.9820000000000009E-4</v>
      </c>
      <c r="CL47" s="20">
        <v>9.9820000000000009E-4</v>
      </c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6">
        <f>SUM(G47:CD47)</f>
        <v>1.5971199999999998E-2</v>
      </c>
      <c r="DX47" s="17" t="str">
        <f t="shared" si="1"/>
        <v>확인</v>
      </c>
      <c r="DY47" s="17" t="s">
        <v>90</v>
      </c>
    </row>
    <row r="48" spans="1:129" ht="21.95" customHeight="1">
      <c r="A48" s="14" t="s">
        <v>54</v>
      </c>
      <c r="B48" s="14" t="s">
        <v>7</v>
      </c>
      <c r="C48" s="22">
        <v>10208700000</v>
      </c>
      <c r="D48" s="23">
        <v>2.2686000000000001E-2</v>
      </c>
      <c r="E48" s="14"/>
      <c r="F48" s="14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20">
        <v>9.9820000000000009E-4</v>
      </c>
      <c r="BP48" s="20">
        <v>9.9820000000000009E-4</v>
      </c>
      <c r="BQ48" s="20">
        <v>9.9820000000000009E-4</v>
      </c>
      <c r="BR48" s="20">
        <v>9.9820000000000009E-4</v>
      </c>
      <c r="BS48" s="20">
        <v>9.9820000000000009E-4</v>
      </c>
      <c r="BT48" s="20">
        <v>9.9820000000000009E-4</v>
      </c>
      <c r="BU48" s="20">
        <v>9.9820000000000009E-4</v>
      </c>
      <c r="BV48" s="20">
        <v>9.9820000000000009E-4</v>
      </c>
      <c r="BW48" s="20">
        <v>9.9820000000000009E-4</v>
      </c>
      <c r="BX48" s="20">
        <v>9.9820000000000009E-4</v>
      </c>
      <c r="BY48" s="20">
        <v>9.9820000000000009E-4</v>
      </c>
      <c r="BZ48" s="20">
        <v>9.9820000000000009E-4</v>
      </c>
      <c r="CA48" s="20">
        <v>9.9820000000000009E-4</v>
      </c>
      <c r="CB48" s="20">
        <v>9.9820000000000009E-4</v>
      </c>
      <c r="CC48" s="20">
        <v>9.9820000000000009E-4</v>
      </c>
      <c r="CD48" s="20">
        <v>9.9820000000000009E-4</v>
      </c>
      <c r="CE48" s="20">
        <v>9.9820000000000009E-4</v>
      </c>
      <c r="CF48" s="20">
        <v>9.9820000000000009E-4</v>
      </c>
      <c r="CG48" s="20">
        <v>9.9820000000000009E-4</v>
      </c>
      <c r="CH48" s="20">
        <v>9.9820000000000009E-4</v>
      </c>
      <c r="CI48" s="20">
        <v>9.9820000000000009E-4</v>
      </c>
      <c r="CJ48" s="20">
        <v>9.9820000000000009E-4</v>
      </c>
      <c r="CK48" s="20">
        <v>9.9820000000000009E-4</v>
      </c>
      <c r="CL48" s="20">
        <v>9.9820000000000009E-4</v>
      </c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6">
        <f>SUM(G48:CD48)</f>
        <v>1.5971199999999998E-2</v>
      </c>
      <c r="DX48" s="17" t="str">
        <f t="shared" si="1"/>
        <v>확인</v>
      </c>
      <c r="DY48" s="17" t="s">
        <v>46</v>
      </c>
    </row>
    <row r="49" spans="1:129" ht="21.95" customHeight="1">
      <c r="A49" s="14" t="s">
        <v>54</v>
      </c>
      <c r="B49" s="14" t="s">
        <v>88</v>
      </c>
      <c r="C49" s="22">
        <v>6125400000</v>
      </c>
      <c r="D49" s="23">
        <v>1.3612000000000001E-2</v>
      </c>
      <c r="E49" s="14"/>
      <c r="F49" s="14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I49" s="20">
        <v>9.9820000000000009E-4</v>
      </c>
      <c r="CJ49" s="20">
        <v>9.9820000000000009E-4</v>
      </c>
      <c r="CK49" s="20">
        <v>9.9820000000000009E-4</v>
      </c>
      <c r="CL49" s="20">
        <v>9.9820000000000009E-4</v>
      </c>
      <c r="CM49" s="20">
        <v>9.9820000000000009E-4</v>
      </c>
      <c r="CN49" s="20">
        <v>9.9820000000000009E-4</v>
      </c>
      <c r="CO49" s="20">
        <v>9.9820000000000009E-4</v>
      </c>
      <c r="CP49" s="20">
        <v>9.9820000000000009E-4</v>
      </c>
      <c r="CQ49" s="20">
        <v>9.9820000000000009E-4</v>
      </c>
      <c r="CR49" s="20">
        <v>9.9820000000000009E-4</v>
      </c>
      <c r="CS49" s="20">
        <v>9.9820000000000009E-4</v>
      </c>
      <c r="CT49" s="20">
        <v>9.9820000000000009E-4</v>
      </c>
      <c r="CU49" s="20">
        <v>9.9820000000000009E-4</v>
      </c>
      <c r="CV49" s="20">
        <v>9.9820000000000009E-4</v>
      </c>
      <c r="CW49" s="20">
        <v>9.9820000000000009E-4</v>
      </c>
      <c r="CX49" s="20">
        <v>9.9820000000000009E-4</v>
      </c>
      <c r="CY49" s="20">
        <v>9.9820000000000009E-4</v>
      </c>
      <c r="CZ49" s="20">
        <v>9.9820000000000009E-4</v>
      </c>
      <c r="DA49" s="20">
        <v>9.9820000000000009E-4</v>
      </c>
      <c r="DB49" s="20">
        <v>9.9820000000000009E-4</v>
      </c>
      <c r="DC49" s="20">
        <v>9.9820000000000009E-4</v>
      </c>
      <c r="DD49" s="20">
        <v>9.9820000000000009E-4</v>
      </c>
      <c r="DE49" s="20">
        <v>9.9820000000000009E-4</v>
      </c>
      <c r="DF49" s="20">
        <v>9.9820000000000009E-4</v>
      </c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6">
        <f>SUM(G49:CX49)</f>
        <v>1.5971199999999998E-2</v>
      </c>
      <c r="DX49" s="17" t="str">
        <f t="shared" si="1"/>
        <v>확인</v>
      </c>
      <c r="DY49" s="17" t="s">
        <v>57</v>
      </c>
    </row>
    <row r="50" spans="1:129" ht="21.95" customHeight="1">
      <c r="A50" s="14" t="s">
        <v>54</v>
      </c>
      <c r="B50" s="14" t="s">
        <v>8</v>
      </c>
      <c r="C50" s="22">
        <v>8983800000</v>
      </c>
      <c r="D50" s="23">
        <v>1.9963999999999999E-2</v>
      </c>
      <c r="E50" s="14"/>
      <c r="F50" s="14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Y50" s="20">
        <v>9.9820000000000009E-4</v>
      </c>
      <c r="CZ50" s="20">
        <v>9.9820000000000009E-4</v>
      </c>
      <c r="DA50" s="20">
        <v>9.9820000000000009E-4</v>
      </c>
      <c r="DB50" s="20">
        <v>9.9820000000000009E-4</v>
      </c>
      <c r="DC50" s="20">
        <v>9.9820000000000009E-4</v>
      </c>
      <c r="DD50" s="20">
        <v>9.9820000000000009E-4</v>
      </c>
      <c r="DE50" s="20">
        <v>9.9820000000000009E-4</v>
      </c>
      <c r="DF50" s="20">
        <v>9.9820000000000009E-4</v>
      </c>
      <c r="DG50" s="20">
        <v>9.9820000000000009E-4</v>
      </c>
      <c r="DH50" s="20">
        <v>9.9820000000000009E-4</v>
      </c>
      <c r="DI50" s="20">
        <v>9.9820000000000009E-4</v>
      </c>
      <c r="DJ50" s="20">
        <v>9.9820000000000009E-4</v>
      </c>
      <c r="DK50" s="20">
        <v>9.9820000000000009E-4</v>
      </c>
      <c r="DL50" s="20">
        <v>9.9820000000000009E-4</v>
      </c>
      <c r="DM50" s="20">
        <v>9.9820000000000009E-4</v>
      </c>
      <c r="DN50" s="20">
        <v>9.9820000000000009E-4</v>
      </c>
      <c r="DO50" s="20">
        <v>9.9820000000000009E-4</v>
      </c>
      <c r="DP50" s="20">
        <v>9.9820000000000009E-4</v>
      </c>
      <c r="DQ50" s="20">
        <v>9.9820000000000009E-4</v>
      </c>
      <c r="DR50" s="20">
        <v>9.9820000000000009E-4</v>
      </c>
      <c r="DS50" s="20">
        <v>9.9820000000000009E-4</v>
      </c>
      <c r="DT50" s="20">
        <v>9.9820000000000009E-4</v>
      </c>
      <c r="DU50" s="20">
        <v>9.9820000000000009E-4</v>
      </c>
      <c r="DV50" s="20">
        <v>9.9820000000000009E-4</v>
      </c>
      <c r="DW50" s="16">
        <f>SUM(G50:DN50)</f>
        <v>1.5971199999999998E-2</v>
      </c>
      <c r="DX50" s="17" t="str">
        <f t="shared" si="1"/>
        <v>확인</v>
      </c>
      <c r="DY50" s="17" t="s">
        <v>92</v>
      </c>
    </row>
    <row r="51" spans="1:129" ht="21.95" customHeight="1">
      <c r="A51" s="14" t="s">
        <v>52</v>
      </c>
      <c r="B51" s="14" t="s">
        <v>2</v>
      </c>
      <c r="C51" s="22">
        <v>5716800000</v>
      </c>
      <c r="D51" s="23">
        <v>1.2704E-2</v>
      </c>
      <c r="E51" s="14"/>
      <c r="F51" s="14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20">
        <v>9.9820000000000009E-4</v>
      </c>
      <c r="CF51" s="20">
        <v>9.9820000000000009E-4</v>
      </c>
      <c r="CG51" s="20">
        <v>9.9820000000000009E-4</v>
      </c>
      <c r="CH51" s="20">
        <v>9.9820000000000009E-4</v>
      </c>
      <c r="CI51" s="20">
        <v>9.9820000000000009E-4</v>
      </c>
      <c r="CJ51" s="20">
        <v>9.9820000000000009E-4</v>
      </c>
      <c r="CK51" s="20">
        <v>9.9820000000000009E-4</v>
      </c>
      <c r="CL51" s="20">
        <v>9.9820000000000009E-4</v>
      </c>
      <c r="CM51" s="20">
        <v>9.9820000000000009E-4</v>
      </c>
      <c r="CN51" s="20">
        <v>9.9820000000000009E-4</v>
      </c>
      <c r="CO51" s="20">
        <v>9.9820000000000009E-4</v>
      </c>
      <c r="CP51" s="20">
        <v>9.9820000000000009E-4</v>
      </c>
      <c r="CQ51" s="20">
        <v>9.9820000000000009E-4</v>
      </c>
      <c r="CR51" s="20">
        <v>9.9820000000000009E-4</v>
      </c>
      <c r="CS51" s="20">
        <v>9.9820000000000009E-4</v>
      </c>
      <c r="CT51" s="20">
        <v>9.9820000000000009E-4</v>
      </c>
      <c r="CU51" s="20">
        <v>9.9820000000000009E-4</v>
      </c>
      <c r="CV51" s="20">
        <v>9.9820000000000009E-4</v>
      </c>
      <c r="CW51" s="20">
        <v>9.9820000000000009E-4</v>
      </c>
      <c r="CX51" s="20">
        <v>9.9820000000000009E-4</v>
      </c>
      <c r="CY51" s="20">
        <v>9.9820000000000009E-4</v>
      </c>
      <c r="CZ51" s="20">
        <v>9.9820000000000009E-4</v>
      </c>
      <c r="DA51" s="20">
        <v>9.9820000000000009E-4</v>
      </c>
      <c r="DB51" s="20">
        <v>9.9820000000000009E-4</v>
      </c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6">
        <f>SUM(G51:CT51)</f>
        <v>1.5971199999999998E-2</v>
      </c>
      <c r="DX51" s="17" t="str">
        <f t="shared" si="1"/>
        <v>확인</v>
      </c>
      <c r="DY51" s="17" t="s">
        <v>90</v>
      </c>
    </row>
    <row r="52" spans="1:129" ht="21.95" customHeight="1">
      <c r="A52" s="14" t="s">
        <v>52</v>
      </c>
      <c r="B52" s="14" t="s">
        <v>5</v>
      </c>
      <c r="C52" s="22">
        <v>7349400000</v>
      </c>
      <c r="D52" s="23">
        <v>1.6331999999999999E-2</v>
      </c>
      <c r="E52" s="14" t="s">
        <v>53</v>
      </c>
      <c r="F52" s="14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20">
        <v>9.9820000000000009E-4</v>
      </c>
      <c r="DP52" s="20">
        <v>9.9820000000000009E-4</v>
      </c>
      <c r="DQ52" s="20">
        <v>9.9820000000000009E-4</v>
      </c>
      <c r="DR52" s="20">
        <v>9.9820000000000009E-4</v>
      </c>
      <c r="DS52" s="20">
        <v>9.9820000000000009E-4</v>
      </c>
      <c r="DT52" s="20">
        <v>9.9820000000000009E-4</v>
      </c>
      <c r="DU52" s="20">
        <v>9.9820000000000009E-4</v>
      </c>
      <c r="DV52" s="20">
        <v>9.9820000000000009E-4</v>
      </c>
      <c r="DW52" s="16">
        <f>SUM(G52:CT52)</f>
        <v>0</v>
      </c>
      <c r="DX52" s="17" t="str">
        <f t="shared" si="1"/>
        <v>확인</v>
      </c>
      <c r="DY52" s="17" t="s">
        <v>93</v>
      </c>
    </row>
    <row r="53" spans="1:129">
      <c r="C53" s="3"/>
      <c r="D53" s="5"/>
      <c r="DW53" s="5"/>
    </row>
    <row r="54" spans="1:129" ht="15">
      <c r="A54" s="1" t="s">
        <v>62</v>
      </c>
      <c r="B54" s="1"/>
      <c r="C54" s="4">
        <v>450000000000</v>
      </c>
      <c r="D54" s="6">
        <v>1</v>
      </c>
      <c r="E54" s="1"/>
      <c r="F54" s="1"/>
      <c r="G54" s="7">
        <f>SUM(G9:G52)</f>
        <v>1.6335E-3</v>
      </c>
      <c r="H54" s="7">
        <f>SUM(H9:H52)</f>
        <v>1.815E-3</v>
      </c>
      <c r="I54" s="7">
        <f>SUM(I9:I52)</f>
        <v>5.6264000000000002E-3</v>
      </c>
      <c r="J54" s="7">
        <f>SUM(J9:J52)</f>
        <v>5.6264000000000002E-3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>
        <f t="shared" ref="W54:BB54" si="4">SUM(W9:W52)</f>
        <v>5.4836600000000004E-3</v>
      </c>
      <c r="X54" s="7">
        <f t="shared" si="4"/>
        <v>5.4836600000000004E-3</v>
      </c>
      <c r="Y54" s="7">
        <f t="shared" si="4"/>
        <v>5.4836600000000004E-3</v>
      </c>
      <c r="Z54" s="7">
        <f t="shared" si="4"/>
        <v>5.4836600000000004E-3</v>
      </c>
      <c r="AA54" s="7">
        <f t="shared" si="4"/>
        <v>6.4818600000000007E-3</v>
      </c>
      <c r="AB54" s="7">
        <f t="shared" si="4"/>
        <v>5.4836600000000004E-3</v>
      </c>
      <c r="AC54" s="7">
        <f t="shared" si="4"/>
        <v>3.4872600000000007E-3</v>
      </c>
      <c r="AD54" s="7">
        <f t="shared" si="4"/>
        <v>3.4872600000000007E-3</v>
      </c>
      <c r="AE54" s="7">
        <f t="shared" si="4"/>
        <v>2.4890600000000004E-3</v>
      </c>
      <c r="AF54" s="7">
        <f t="shared" si="4"/>
        <v>2.4890600000000004E-3</v>
      </c>
      <c r="AG54" s="7">
        <f t="shared" si="4"/>
        <v>2.4890600000000004E-3</v>
      </c>
      <c r="AH54" s="7">
        <f t="shared" si="4"/>
        <v>2.4890600000000004E-3</v>
      </c>
      <c r="AI54" s="7">
        <f t="shared" si="4"/>
        <v>2.4890600000000004E-3</v>
      </c>
      <c r="AJ54" s="7">
        <f t="shared" si="4"/>
        <v>2.4890600000000004E-3</v>
      </c>
      <c r="AK54" s="7">
        <f t="shared" si="4"/>
        <v>1.9057000000000002E-3</v>
      </c>
      <c r="AL54" s="7">
        <f t="shared" si="4"/>
        <v>1.9057000000000002E-3</v>
      </c>
      <c r="AM54" s="7">
        <f t="shared" si="4"/>
        <v>1.9057000000000002E-3</v>
      </c>
      <c r="AN54" s="7">
        <f t="shared" si="4"/>
        <v>1.9057000000000002E-3</v>
      </c>
      <c r="AO54" s="7">
        <f t="shared" si="4"/>
        <v>1.9057000000000002E-3</v>
      </c>
      <c r="AP54" s="7">
        <f t="shared" si="4"/>
        <v>1.9057000000000002E-3</v>
      </c>
      <c r="AQ54" s="7">
        <f t="shared" si="4"/>
        <v>1.9057000000000002E-3</v>
      </c>
      <c r="AR54" s="7">
        <f t="shared" si="4"/>
        <v>1.9057000000000002E-3</v>
      </c>
      <c r="AS54" s="7">
        <f t="shared" si="4"/>
        <v>1.9057000000000002E-3</v>
      </c>
      <c r="AT54" s="7">
        <f t="shared" si="4"/>
        <v>1.9057000000000002E-3</v>
      </c>
      <c r="AU54" s="7">
        <f t="shared" si="4"/>
        <v>1.9057000000000002E-3</v>
      </c>
      <c r="AV54" s="7">
        <f t="shared" si="4"/>
        <v>1.9057000000000002E-3</v>
      </c>
      <c r="AW54" s="7">
        <f t="shared" si="4"/>
        <v>1.9057000000000002E-3</v>
      </c>
      <c r="AX54" s="7">
        <f t="shared" si="4"/>
        <v>1.9057000000000002E-3</v>
      </c>
      <c r="AY54" s="7">
        <f t="shared" si="4"/>
        <v>3.9021000000000004E-3</v>
      </c>
      <c r="AZ54" s="7">
        <f t="shared" si="4"/>
        <v>3.9021000000000004E-3</v>
      </c>
      <c r="BA54" s="7">
        <f t="shared" si="4"/>
        <v>3.9021000000000004E-3</v>
      </c>
      <c r="BB54" s="7">
        <f t="shared" si="4"/>
        <v>3.9021000000000004E-3</v>
      </c>
      <c r="BC54" s="7">
        <f t="shared" ref="BC54:CH54" si="5">SUM(BC9:BC52)</f>
        <v>5.898500000000001E-3</v>
      </c>
      <c r="BD54" s="7">
        <f t="shared" si="5"/>
        <v>5.898500000000001E-3</v>
      </c>
      <c r="BE54" s="7">
        <f t="shared" si="5"/>
        <v>5.898500000000001E-3</v>
      </c>
      <c r="BF54" s="7">
        <f t="shared" si="5"/>
        <v>5.898500000000001E-3</v>
      </c>
      <c r="BG54" s="7">
        <f t="shared" si="5"/>
        <v>8.893100000000001E-3</v>
      </c>
      <c r="BH54" s="7">
        <f t="shared" si="5"/>
        <v>8.893100000000001E-3</v>
      </c>
      <c r="BI54" s="7">
        <f t="shared" si="5"/>
        <v>1.08895E-2</v>
      </c>
      <c r="BJ54" s="7">
        <f t="shared" si="5"/>
        <v>1.08895E-2</v>
      </c>
      <c r="BK54" s="7">
        <f t="shared" si="5"/>
        <v>9.8913000000000004E-3</v>
      </c>
      <c r="BL54" s="7">
        <f t="shared" si="5"/>
        <v>9.8913000000000004E-3</v>
      </c>
      <c r="BM54" s="7">
        <f t="shared" si="5"/>
        <v>9.8913000000000004E-3</v>
      </c>
      <c r="BN54" s="7">
        <f t="shared" si="5"/>
        <v>9.8913000000000004E-3</v>
      </c>
      <c r="BO54" s="7">
        <f t="shared" si="5"/>
        <v>1.7876900000000001E-2</v>
      </c>
      <c r="BP54" s="7">
        <f t="shared" si="5"/>
        <v>1.7876900000000001E-2</v>
      </c>
      <c r="BQ54" s="7">
        <f t="shared" si="5"/>
        <v>1.9873300000000003E-2</v>
      </c>
      <c r="BR54" s="7">
        <f t="shared" si="5"/>
        <v>1.9873300000000003E-2</v>
      </c>
      <c r="BS54" s="7">
        <f t="shared" si="5"/>
        <v>1.9873300000000003E-2</v>
      </c>
      <c r="BT54" s="7">
        <f t="shared" si="5"/>
        <v>1.9873300000000003E-2</v>
      </c>
      <c r="BU54" s="7">
        <f t="shared" si="5"/>
        <v>1.7876900000000001E-2</v>
      </c>
      <c r="BV54" s="7">
        <f t="shared" si="5"/>
        <v>1.7876900000000001E-2</v>
      </c>
      <c r="BW54" s="7">
        <f t="shared" si="5"/>
        <v>1.68787E-2</v>
      </c>
      <c r="BX54" s="7">
        <f t="shared" si="5"/>
        <v>1.68787E-2</v>
      </c>
      <c r="BY54" s="7">
        <f t="shared" si="5"/>
        <v>1.4882299999999998E-2</v>
      </c>
      <c r="BZ54" s="7">
        <f t="shared" si="5"/>
        <v>1.4882299999999998E-2</v>
      </c>
      <c r="CA54" s="7">
        <f t="shared" si="5"/>
        <v>1.4882299999999998E-2</v>
      </c>
      <c r="CB54" s="7">
        <f t="shared" si="5"/>
        <v>1.4882299999999998E-2</v>
      </c>
      <c r="CC54" s="7">
        <f t="shared" si="5"/>
        <v>9.8913000000000004E-3</v>
      </c>
      <c r="CD54" s="7">
        <f t="shared" si="5"/>
        <v>9.8913000000000004E-3</v>
      </c>
      <c r="CE54" s="7">
        <f t="shared" si="5"/>
        <v>9.8913000000000004E-3</v>
      </c>
      <c r="CF54" s="7">
        <f t="shared" si="5"/>
        <v>9.8913000000000004E-3</v>
      </c>
      <c r="CG54" s="7">
        <f t="shared" si="5"/>
        <v>9.8913000000000004E-3</v>
      </c>
      <c r="CH54" s="7">
        <f t="shared" si="5"/>
        <v>9.8913000000000004E-3</v>
      </c>
      <c r="CI54" s="7">
        <f t="shared" ref="CI54:CT54" si="6">SUM(CI9:CI52)</f>
        <v>1.1978399999999998E-2</v>
      </c>
      <c r="CJ54" s="7">
        <f t="shared" si="6"/>
        <v>1.1978399999999998E-2</v>
      </c>
      <c r="CK54" s="7">
        <f t="shared" si="6"/>
        <v>1.1978399999999998E-2</v>
      </c>
      <c r="CL54" s="7">
        <f t="shared" si="6"/>
        <v>1.1978399999999998E-2</v>
      </c>
      <c r="CM54" s="7">
        <f t="shared" si="6"/>
        <v>7.9856000000000007E-3</v>
      </c>
      <c r="CN54" s="7">
        <f t="shared" si="6"/>
        <v>7.9856000000000007E-3</v>
      </c>
      <c r="CO54" s="7">
        <f t="shared" si="6"/>
        <v>6.9874000000000012E-3</v>
      </c>
      <c r="CP54" s="7">
        <f t="shared" si="6"/>
        <v>6.9874000000000012E-3</v>
      </c>
      <c r="CQ54" s="7">
        <f t="shared" si="6"/>
        <v>5.9892000000000009E-3</v>
      </c>
      <c r="CR54" s="7">
        <f t="shared" si="6"/>
        <v>5.9892000000000009E-3</v>
      </c>
      <c r="CS54" s="7">
        <f t="shared" si="6"/>
        <v>5.9892000000000009E-3</v>
      </c>
      <c r="CT54" s="7">
        <f t="shared" si="6"/>
        <v>5.9892000000000009E-3</v>
      </c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>
        <f>SUM(DW9:DW52)</f>
        <v>0.6717935399999998</v>
      </c>
      <c r="DX54" t="str">
        <f>IF(ABS(D54-DW54)&lt;0.0001,"OK","확인")</f>
        <v>확인</v>
      </c>
    </row>
    <row r="56" spans="1:129" ht="15">
      <c r="A56" s="2" t="s">
        <v>95</v>
      </c>
      <c r="B56" s="2"/>
      <c r="C56" s="2"/>
      <c r="D56" s="2"/>
      <c r="E56" s="2"/>
      <c r="F56" s="2"/>
      <c r="G56" s="8">
        <f t="shared" ref="G56:CD56" si="7">G54</f>
        <v>1.6335E-3</v>
      </c>
      <c r="H56" s="8">
        <f t="shared" si="7"/>
        <v>1.815E-3</v>
      </c>
      <c r="I56" s="8">
        <f t="shared" si="7"/>
        <v>5.6264000000000002E-3</v>
      </c>
      <c r="J56" s="8">
        <f t="shared" si="7"/>
        <v>5.6264000000000002E-3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>
        <f t="shared" si="7"/>
        <v>5.4836600000000004E-3</v>
      </c>
      <c r="X56" s="8">
        <f t="shared" si="7"/>
        <v>5.4836600000000004E-3</v>
      </c>
      <c r="Y56" s="8">
        <f t="shared" si="7"/>
        <v>5.4836600000000004E-3</v>
      </c>
      <c r="Z56" s="8">
        <f t="shared" si="7"/>
        <v>5.4836600000000004E-3</v>
      </c>
      <c r="AA56" s="8">
        <f t="shared" si="7"/>
        <v>6.4818600000000007E-3</v>
      </c>
      <c r="AB56" s="8">
        <f t="shared" si="7"/>
        <v>5.4836600000000004E-3</v>
      </c>
      <c r="AC56" s="8">
        <f t="shared" si="7"/>
        <v>3.4872600000000007E-3</v>
      </c>
      <c r="AD56" s="8">
        <f t="shared" si="7"/>
        <v>3.4872600000000007E-3</v>
      </c>
      <c r="AE56" s="8">
        <f t="shared" si="7"/>
        <v>2.4890600000000004E-3</v>
      </c>
      <c r="AF56" s="8">
        <f t="shared" si="7"/>
        <v>2.4890600000000004E-3</v>
      </c>
      <c r="AG56" s="8">
        <f t="shared" si="7"/>
        <v>2.4890600000000004E-3</v>
      </c>
      <c r="AH56" s="8">
        <f t="shared" si="7"/>
        <v>2.4890600000000004E-3</v>
      </c>
      <c r="AI56" s="8">
        <f t="shared" si="7"/>
        <v>2.4890600000000004E-3</v>
      </c>
      <c r="AJ56" s="8">
        <f t="shared" si="7"/>
        <v>2.4890600000000004E-3</v>
      </c>
      <c r="AK56" s="8">
        <f t="shared" si="7"/>
        <v>1.9057000000000002E-3</v>
      </c>
      <c r="AL56" s="8">
        <f t="shared" si="7"/>
        <v>1.9057000000000002E-3</v>
      </c>
      <c r="AM56" s="8">
        <f t="shared" si="7"/>
        <v>1.9057000000000002E-3</v>
      </c>
      <c r="AN56" s="8">
        <f t="shared" si="7"/>
        <v>1.9057000000000002E-3</v>
      </c>
      <c r="AO56" s="8">
        <f t="shared" si="7"/>
        <v>1.9057000000000002E-3</v>
      </c>
      <c r="AP56" s="8">
        <f t="shared" si="7"/>
        <v>1.9057000000000002E-3</v>
      </c>
      <c r="AQ56" s="8">
        <f t="shared" si="7"/>
        <v>1.9057000000000002E-3</v>
      </c>
      <c r="AR56" s="8">
        <f t="shared" si="7"/>
        <v>1.9057000000000002E-3</v>
      </c>
      <c r="AS56" s="8">
        <f t="shared" si="7"/>
        <v>1.9057000000000002E-3</v>
      </c>
      <c r="AT56" s="8">
        <f t="shared" si="7"/>
        <v>1.9057000000000002E-3</v>
      </c>
      <c r="AU56" s="8">
        <f t="shared" si="7"/>
        <v>1.9057000000000002E-3</v>
      </c>
      <c r="AV56" s="8">
        <f t="shared" si="7"/>
        <v>1.9057000000000002E-3</v>
      </c>
      <c r="AW56" s="8">
        <f t="shared" si="7"/>
        <v>1.9057000000000002E-3</v>
      </c>
      <c r="AX56" s="8">
        <f t="shared" si="7"/>
        <v>1.9057000000000002E-3</v>
      </c>
      <c r="AY56" s="8">
        <f t="shared" si="7"/>
        <v>3.9021000000000004E-3</v>
      </c>
      <c r="AZ56" s="8">
        <f t="shared" si="7"/>
        <v>3.9021000000000004E-3</v>
      </c>
      <c r="BA56" s="8">
        <f t="shared" si="7"/>
        <v>3.9021000000000004E-3</v>
      </c>
      <c r="BB56" s="8">
        <f t="shared" si="7"/>
        <v>3.9021000000000004E-3</v>
      </c>
      <c r="BC56" s="8">
        <f t="shared" si="7"/>
        <v>5.898500000000001E-3</v>
      </c>
      <c r="BD56" s="8">
        <f t="shared" si="7"/>
        <v>5.898500000000001E-3</v>
      </c>
      <c r="BE56" s="8">
        <f t="shared" si="7"/>
        <v>5.898500000000001E-3</v>
      </c>
      <c r="BF56" s="8">
        <f t="shared" si="7"/>
        <v>5.898500000000001E-3</v>
      </c>
      <c r="BG56" s="8">
        <f t="shared" si="7"/>
        <v>8.893100000000001E-3</v>
      </c>
      <c r="BH56" s="8">
        <f t="shared" si="7"/>
        <v>8.893100000000001E-3</v>
      </c>
      <c r="BI56" s="8">
        <f t="shared" si="7"/>
        <v>1.08895E-2</v>
      </c>
      <c r="BJ56" s="8">
        <f t="shared" si="7"/>
        <v>1.08895E-2</v>
      </c>
      <c r="BK56" s="8">
        <f t="shared" si="7"/>
        <v>9.8913000000000004E-3</v>
      </c>
      <c r="BL56" s="8">
        <f t="shared" si="7"/>
        <v>9.8913000000000004E-3</v>
      </c>
      <c r="BM56" s="8">
        <f t="shared" si="7"/>
        <v>9.8913000000000004E-3</v>
      </c>
      <c r="BN56" s="8">
        <f t="shared" si="7"/>
        <v>9.8913000000000004E-3</v>
      </c>
      <c r="BO56" s="8">
        <f t="shared" si="7"/>
        <v>1.7876900000000001E-2</v>
      </c>
      <c r="BP56" s="8">
        <f t="shared" si="7"/>
        <v>1.7876900000000001E-2</v>
      </c>
      <c r="BQ56" s="8">
        <f t="shared" si="7"/>
        <v>1.9873300000000003E-2</v>
      </c>
      <c r="BR56" s="8">
        <f t="shared" si="7"/>
        <v>1.9873300000000003E-2</v>
      </c>
      <c r="BS56" s="8">
        <f t="shared" si="7"/>
        <v>1.9873300000000003E-2</v>
      </c>
      <c r="BT56" s="8">
        <f t="shared" si="7"/>
        <v>1.9873300000000003E-2</v>
      </c>
      <c r="BU56" s="8">
        <f t="shared" si="7"/>
        <v>1.7876900000000001E-2</v>
      </c>
      <c r="BV56" s="8">
        <f t="shared" si="7"/>
        <v>1.7876900000000001E-2</v>
      </c>
      <c r="BW56" s="8">
        <f t="shared" si="7"/>
        <v>1.68787E-2</v>
      </c>
      <c r="BX56" s="8">
        <f t="shared" si="7"/>
        <v>1.68787E-2</v>
      </c>
      <c r="BY56" s="8">
        <f t="shared" si="7"/>
        <v>1.4882299999999998E-2</v>
      </c>
      <c r="BZ56" s="8">
        <f t="shared" si="7"/>
        <v>1.4882299999999998E-2</v>
      </c>
      <c r="CA56" s="8">
        <f t="shared" si="7"/>
        <v>1.4882299999999998E-2</v>
      </c>
      <c r="CB56" s="8">
        <f t="shared" si="7"/>
        <v>1.4882299999999998E-2</v>
      </c>
      <c r="CC56" s="8">
        <f t="shared" si="7"/>
        <v>9.8913000000000004E-3</v>
      </c>
      <c r="CD56" s="8">
        <f t="shared" si="7"/>
        <v>9.8913000000000004E-3</v>
      </c>
      <c r="CE56" s="8">
        <f t="shared" ref="CE56:CT56" si="8">CE54</f>
        <v>9.8913000000000004E-3</v>
      </c>
      <c r="CF56" s="8">
        <f t="shared" si="8"/>
        <v>9.8913000000000004E-3</v>
      </c>
      <c r="CG56" s="8">
        <f t="shared" si="8"/>
        <v>9.8913000000000004E-3</v>
      </c>
      <c r="CH56" s="8">
        <f t="shared" si="8"/>
        <v>9.8913000000000004E-3</v>
      </c>
      <c r="CI56" s="8">
        <f t="shared" si="8"/>
        <v>1.1978399999999998E-2</v>
      </c>
      <c r="CJ56" s="8">
        <f t="shared" si="8"/>
        <v>1.1978399999999998E-2</v>
      </c>
      <c r="CK56" s="8">
        <f t="shared" si="8"/>
        <v>1.1978399999999998E-2</v>
      </c>
      <c r="CL56" s="8">
        <f t="shared" si="8"/>
        <v>1.1978399999999998E-2</v>
      </c>
      <c r="CM56" s="8">
        <f t="shared" si="8"/>
        <v>7.9856000000000007E-3</v>
      </c>
      <c r="CN56" s="8">
        <f t="shared" si="8"/>
        <v>7.9856000000000007E-3</v>
      </c>
      <c r="CO56" s="8">
        <f t="shared" si="8"/>
        <v>6.9874000000000012E-3</v>
      </c>
      <c r="CP56" s="8">
        <f t="shared" si="8"/>
        <v>6.9874000000000012E-3</v>
      </c>
      <c r="CQ56" s="8">
        <f t="shared" si="8"/>
        <v>5.9892000000000009E-3</v>
      </c>
      <c r="CR56" s="8">
        <f t="shared" si="8"/>
        <v>5.9892000000000009E-3</v>
      </c>
      <c r="CS56" s="8">
        <f t="shared" si="8"/>
        <v>5.9892000000000009E-3</v>
      </c>
      <c r="CT56" s="8">
        <f t="shared" si="8"/>
        <v>5.9892000000000009E-3</v>
      </c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</row>
    <row r="57" spans="1:129" ht="15">
      <c r="A57" s="2" t="s">
        <v>94</v>
      </c>
      <c r="B57" s="2"/>
      <c r="C57" s="2"/>
      <c r="D57" s="2"/>
      <c r="E57" s="2"/>
      <c r="F57" s="2"/>
      <c r="G57" s="8">
        <f>SUM($G$56:G$56)</f>
        <v>1.6335E-3</v>
      </c>
      <c r="H57" s="8">
        <f>SUM($G$56:H$56)</f>
        <v>3.4485000000000002E-3</v>
      </c>
      <c r="I57" s="8">
        <f>SUM($G$56:I$56)</f>
        <v>9.0749000000000003E-3</v>
      </c>
      <c r="J57" s="8">
        <f>SUM($G$56:J$56)</f>
        <v>1.47013E-2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>
        <f>SUM($G$56:W$56)</f>
        <v>2.0184960000000002E-2</v>
      </c>
      <c r="X57" s="8">
        <f>SUM($G$56:X$56)</f>
        <v>2.5668620000000003E-2</v>
      </c>
      <c r="Y57" s="8">
        <f>SUM($G$56:Y$56)</f>
        <v>3.1152280000000004E-2</v>
      </c>
      <c r="Z57" s="8">
        <f>SUM($G$56:Z$56)</f>
        <v>3.6635940000000006E-2</v>
      </c>
      <c r="AA57" s="8">
        <f>SUM($G$56:AA$56)</f>
        <v>4.3117800000000005E-2</v>
      </c>
      <c r="AB57" s="8">
        <f>SUM($G$56:AB$56)</f>
        <v>4.8601460000000006E-2</v>
      </c>
      <c r="AC57" s="8">
        <f>SUM($G$56:AC$56)</f>
        <v>5.2088720000000005E-2</v>
      </c>
      <c r="AD57" s="8">
        <f>SUM($G$56:AD$56)</f>
        <v>5.5575980000000004E-2</v>
      </c>
      <c r="AE57" s="8">
        <f>SUM($G$56:AE$56)</f>
        <v>5.8065040000000005E-2</v>
      </c>
      <c r="AF57" s="8">
        <f>SUM($G$56:AF$56)</f>
        <v>6.0554100000000007E-2</v>
      </c>
      <c r="AG57" s="8">
        <f>SUM($G$56:AG$56)</f>
        <v>6.3043160000000001E-2</v>
      </c>
      <c r="AH57" s="8">
        <f>SUM($G$56:AH$56)</f>
        <v>6.5532220000000002E-2</v>
      </c>
      <c r="AI57" s="8">
        <f>SUM($G$56:AI$56)</f>
        <v>6.8021280000000003E-2</v>
      </c>
      <c r="AJ57" s="8">
        <f>SUM($G$56:AJ$56)</f>
        <v>7.0510340000000005E-2</v>
      </c>
      <c r="AK57" s="8">
        <f>SUM($G$56:AK$56)</f>
        <v>7.2416040000000001E-2</v>
      </c>
      <c r="AL57" s="8">
        <f>SUM($G$56:AL$56)</f>
        <v>7.4321739999999997E-2</v>
      </c>
      <c r="AM57" s="8">
        <f>SUM($G$56:AM$56)</f>
        <v>7.6227439999999994E-2</v>
      </c>
      <c r="AN57" s="8">
        <f>SUM($G$56:AN$56)</f>
        <v>7.813313999999999E-2</v>
      </c>
      <c r="AO57" s="8">
        <f>SUM($G$56:AO$56)</f>
        <v>8.0038839999999986E-2</v>
      </c>
      <c r="AP57" s="8">
        <f>SUM($G$56:AP$56)</f>
        <v>8.1944539999999982E-2</v>
      </c>
      <c r="AQ57" s="8">
        <f>SUM($G$56:AQ$56)</f>
        <v>8.3850239999999979E-2</v>
      </c>
      <c r="AR57" s="8">
        <f>SUM($G$56:AR$56)</f>
        <v>8.5755939999999975E-2</v>
      </c>
      <c r="AS57" s="8">
        <f>SUM($G$56:AS$56)</f>
        <v>8.7661639999999971E-2</v>
      </c>
      <c r="AT57" s="8">
        <f>SUM($G$56:AT$56)</f>
        <v>8.9567339999999968E-2</v>
      </c>
      <c r="AU57" s="8">
        <f>SUM($G$56:AU$56)</f>
        <v>9.1473039999999964E-2</v>
      </c>
      <c r="AV57" s="8">
        <f>SUM($G$56:AV$56)</f>
        <v>9.337873999999996E-2</v>
      </c>
      <c r="AW57" s="8">
        <f>SUM($G$56:AW$56)</f>
        <v>9.5284439999999956E-2</v>
      </c>
      <c r="AX57" s="8">
        <f>SUM($G$56:AX$56)</f>
        <v>9.7190139999999953E-2</v>
      </c>
      <c r="AY57" s="8">
        <f>SUM($G$56:AY$56)</f>
        <v>0.10109223999999996</v>
      </c>
      <c r="AZ57" s="8">
        <f>SUM($G$56:AZ$56)</f>
        <v>0.10499433999999996</v>
      </c>
      <c r="BA57" s="8">
        <f>SUM($G$56:BA$56)</f>
        <v>0.10889643999999997</v>
      </c>
      <c r="BB57" s="8">
        <f>SUM($G$56:BB$56)</f>
        <v>0.11279853999999997</v>
      </c>
      <c r="BC57" s="8">
        <f>SUM($G$56:BC$56)</f>
        <v>0.11869703999999998</v>
      </c>
      <c r="BD57" s="8">
        <f>SUM($G$56:BD$56)</f>
        <v>0.12459553999999998</v>
      </c>
      <c r="BE57" s="8">
        <f>SUM($G$56:BE$56)</f>
        <v>0.13049403999999998</v>
      </c>
      <c r="BF57" s="8">
        <f>SUM($G$56:BF$56)</f>
        <v>0.13639253999999998</v>
      </c>
      <c r="BG57" s="8">
        <f>SUM($G$56:BG$56)</f>
        <v>0.14528563999999999</v>
      </c>
      <c r="BH57" s="8">
        <f>SUM($G$56:BH$56)</f>
        <v>0.15417873999999998</v>
      </c>
      <c r="BI57" s="8">
        <f>SUM($G$56:BI$56)</f>
        <v>0.16506823999999998</v>
      </c>
      <c r="BJ57" s="8">
        <f>SUM($G$56:BJ$56)</f>
        <v>0.17595773999999997</v>
      </c>
      <c r="BK57" s="8">
        <f>SUM($G$56:BK$56)</f>
        <v>0.18584903999999997</v>
      </c>
      <c r="BL57" s="8">
        <f>SUM($G$56:BL$56)</f>
        <v>0.19574033999999996</v>
      </c>
      <c r="BM57" s="8">
        <f>SUM($G$56:BM$56)</f>
        <v>0.20563163999999995</v>
      </c>
      <c r="BN57" s="8">
        <f>SUM($G$56:BN$56)</f>
        <v>0.21552293999999994</v>
      </c>
      <c r="BO57" s="8">
        <f>SUM($G$56:BO$56)</f>
        <v>0.23339983999999994</v>
      </c>
      <c r="BP57" s="8">
        <f>SUM($G$56:BP$56)</f>
        <v>0.25127673999999994</v>
      </c>
      <c r="BQ57" s="8">
        <f>SUM($G$56:BQ$56)</f>
        <v>0.27115003999999993</v>
      </c>
      <c r="BR57" s="8">
        <f>SUM($G$56:BR$56)</f>
        <v>0.29102333999999991</v>
      </c>
      <c r="BS57" s="8">
        <f>SUM($G$56:BS$56)</f>
        <v>0.31089663999999989</v>
      </c>
      <c r="BT57" s="8">
        <f>SUM($G$56:BT$56)</f>
        <v>0.33076993999999987</v>
      </c>
      <c r="BU57" s="8">
        <f>SUM($G$56:BU$56)</f>
        <v>0.3486468399999999</v>
      </c>
      <c r="BV57" s="8">
        <f>SUM($G$56:BV$56)</f>
        <v>0.36652373999999988</v>
      </c>
      <c r="BW57" s="8">
        <f>SUM($G$56:BW$56)</f>
        <v>0.3834024399999999</v>
      </c>
      <c r="BX57" s="8">
        <f>SUM($G$56:BX$56)</f>
        <v>0.40028113999999992</v>
      </c>
      <c r="BY57" s="8">
        <f>SUM($G$56:BY$56)</f>
        <v>0.41516343999999994</v>
      </c>
      <c r="BZ57" s="8">
        <f>SUM($G$56:BZ$56)</f>
        <v>0.43004573999999995</v>
      </c>
      <c r="CA57" s="8">
        <f>SUM($G$56:CA$56)</f>
        <v>0.44492803999999997</v>
      </c>
      <c r="CB57" s="8">
        <f>SUM($G$56:CB$56)</f>
        <v>0.45981033999999998</v>
      </c>
      <c r="CC57" s="8">
        <f>SUM($G$56:CC$56)</f>
        <v>0.46970163999999998</v>
      </c>
      <c r="CD57" s="8">
        <f>SUM($G$56:CD$56)</f>
        <v>0.47959293999999997</v>
      </c>
      <c r="CE57" s="8">
        <f>SUM($G$56:CE$56)</f>
        <v>0.48948423999999996</v>
      </c>
      <c r="CF57" s="8">
        <f>SUM($G$56:CF$56)</f>
        <v>0.49937553999999995</v>
      </c>
      <c r="CG57" s="8">
        <f>SUM($G$56:CG$56)</f>
        <v>0.50926684</v>
      </c>
      <c r="CH57" s="8">
        <f>SUM($G$56:CH$56)</f>
        <v>0.51915814000000005</v>
      </c>
      <c r="CI57" s="8">
        <f>SUM($G$56:CI$56)</f>
        <v>0.53113653999999999</v>
      </c>
      <c r="CJ57" s="8">
        <f>SUM($G$56:CJ$56)</f>
        <v>0.54311493999999993</v>
      </c>
      <c r="CK57" s="8">
        <f>SUM($G$56:CK$56)</f>
        <v>0.55509333999999988</v>
      </c>
      <c r="CL57" s="8">
        <f>SUM($G$56:CL$56)</f>
        <v>0.56707173999999982</v>
      </c>
      <c r="CM57" s="8">
        <f>SUM($G$56:CM$56)</f>
        <v>0.57505733999999986</v>
      </c>
      <c r="CN57" s="8">
        <f>SUM($G$56:CN$56)</f>
        <v>0.5830429399999999</v>
      </c>
      <c r="CO57" s="8">
        <f>SUM($G$56:CO$56)</f>
        <v>0.59003033999999988</v>
      </c>
      <c r="CP57" s="8">
        <f>SUM($G$56:CP$56)</f>
        <v>0.59701773999999985</v>
      </c>
      <c r="CQ57" s="8">
        <f>SUM($G$56:CQ$56)</f>
        <v>0.60300693999999988</v>
      </c>
      <c r="CR57" s="8">
        <f>SUM($G$56:CR$56)</f>
        <v>0.60899613999999991</v>
      </c>
      <c r="CS57" s="8">
        <f>SUM($G$56:CS$56)</f>
        <v>0.61498533999999994</v>
      </c>
      <c r="CT57" s="8">
        <f>SUM($G$56:CT$56)</f>
        <v>0.62097453999999996</v>
      </c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</row>
  </sheetData>
  <mergeCells count="34">
    <mergeCell ref="AU6:AX6"/>
    <mergeCell ref="A1:E1"/>
    <mergeCell ref="A2:E2"/>
    <mergeCell ref="A3:E3"/>
    <mergeCell ref="A4:E4"/>
    <mergeCell ref="G6:J6"/>
    <mergeCell ref="W6:Z6"/>
    <mergeCell ref="S6:V6"/>
    <mergeCell ref="K6:N6"/>
    <mergeCell ref="O6:R6"/>
    <mergeCell ref="AA6:AD6"/>
    <mergeCell ref="AE6:AH6"/>
    <mergeCell ref="AI6:AL6"/>
    <mergeCell ref="AM6:AP6"/>
    <mergeCell ref="AQ6:AT6"/>
    <mergeCell ref="CQ6:CT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DG6:DJ6"/>
    <mergeCell ref="DK6:DN6"/>
    <mergeCell ref="DO6:DR6"/>
    <mergeCell ref="DS6:DV6"/>
    <mergeCell ref="CU6:CX6"/>
    <mergeCell ref="CY6:DB6"/>
    <mergeCell ref="DC6:DF6"/>
  </mergeCells>
  <phoneticPr fontId="13" type="noConversion"/>
  <conditionalFormatting sqref="F9:CI18 CV9:DV21 F19:AH19 AM19:CI19 F20:AP20 AY20:CI20 F21:CI21 F22:AT30 BG22:CM30 CZ22:DV30 BG31:CX32 DI31:DV32 G31:BB37 BG33:DB33 DG33:DJ33 DM33:DV33 BG34:CX34 DI34:DV34 BG35:DV35 BG36:CX36 DG36:DV36 BG37:DV37 G38:AI43 AY38:DV43 G44:DV44 G45:CM45 DD45:DV45 G46:CL48 DC46:DV48 CI49:DV49 G49:CD50 CY50:DV50 G51:DV52">
    <cfRule type="expression" dxfId="1" priority="1">
      <formula>F9&gt;0</formula>
    </cfRule>
  </conditionalFormatting>
  <conditionalFormatting sqref="G57:DV57">
    <cfRule type="dataBar" priority="5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{20E74E97-ED80-4C23-9BE3-B336E9508F41}</x14:id>
        </ext>
      </extLst>
    </cfRule>
  </conditionalFormatting>
  <conditionalFormatting sqref="DX9:DX53">
    <cfRule type="expression" dxfId="0" priority="2">
      <formula>DX9&lt;&gt;"OK"</formula>
    </cfRule>
  </conditionalFormatting>
  <pageMargins left="0.69999998807907104" right="0.69999998807907104" top="0.75" bottom="0.75" header="0.30000001192092896" footer="0.30000001192092896"/>
  <pageSetup paperSize="9" fitToWidth="0" fitToHeight="0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74E97-ED80-4C23-9BE3-B336E9508F41}">
            <x14:dataBar direction="leftToRight">
              <x14:cfvo type="min"/>
              <x14:cfvo type="max"/>
              <x14:negativeFillColor auto="1"/>
              <x14:axisColor auto="1"/>
            </x14:dataBar>
          </x14:cfRule>
          <xm:sqref>G57:DV57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02FD-5BF0-4859-9155-09E671D8DC29}">
  <dimension ref="A1:G45"/>
  <sheetViews>
    <sheetView topLeftCell="A22" workbookViewId="0">
      <selection activeCell="J41" sqref="J41"/>
    </sheetView>
  </sheetViews>
  <sheetFormatPr defaultRowHeight="14.25"/>
  <cols>
    <col min="1" max="1" width="20.75" customWidth="1"/>
    <col min="2" max="2" width="31.25" customWidth="1"/>
    <col min="3" max="3" width="31" customWidth="1"/>
    <col min="4" max="4" width="27.25" customWidth="1"/>
    <col min="5" max="5" width="25.125" customWidth="1"/>
    <col min="7" max="7" width="9" customWidth="1"/>
  </cols>
  <sheetData>
    <row r="1" spans="1:7">
      <c r="A1" s="21" t="s">
        <v>66</v>
      </c>
      <c r="B1" s="21" t="s">
        <v>64</v>
      </c>
      <c r="C1" s="21" t="s">
        <v>16</v>
      </c>
      <c r="D1" s="21" t="s">
        <v>60</v>
      </c>
      <c r="E1" s="21" t="s">
        <v>59</v>
      </c>
      <c r="G1">
        <v>0.72599999999999998</v>
      </c>
    </row>
    <row r="2" spans="1:7">
      <c r="A2" s="21" t="s">
        <v>149</v>
      </c>
      <c r="B2" s="21" t="s">
        <v>150</v>
      </c>
      <c r="C2" s="22">
        <v>3267000000</v>
      </c>
      <c r="D2">
        <v>7.26E-3</v>
      </c>
      <c r="E2" s="21" t="s">
        <v>151</v>
      </c>
      <c r="G2">
        <v>0.63519999999999999</v>
      </c>
    </row>
    <row r="3" spans="1:7">
      <c r="A3" s="21" t="s">
        <v>149</v>
      </c>
      <c r="B3" s="21" t="s">
        <v>152</v>
      </c>
      <c r="C3" s="22">
        <v>2858400000</v>
      </c>
      <c r="D3">
        <v>6.352E-3</v>
      </c>
      <c r="G3">
        <v>0.90739999999999998</v>
      </c>
    </row>
    <row r="4" spans="1:7">
      <c r="A4" s="21" t="s">
        <v>149</v>
      </c>
      <c r="B4" s="21" t="s">
        <v>153</v>
      </c>
      <c r="C4" s="22">
        <v>4083300000</v>
      </c>
      <c r="D4">
        <v>9.0740000000000005E-3</v>
      </c>
      <c r="E4" s="21" t="s">
        <v>154</v>
      </c>
      <c r="G4">
        <v>0.72599999999999998</v>
      </c>
    </row>
    <row r="5" spans="1:7">
      <c r="A5" s="21" t="s">
        <v>68</v>
      </c>
      <c r="B5" s="21" t="s">
        <v>155</v>
      </c>
      <c r="C5" s="22">
        <v>3267000000</v>
      </c>
      <c r="D5">
        <v>7.26E-3</v>
      </c>
      <c r="G5">
        <v>1.9964</v>
      </c>
    </row>
    <row r="6" spans="1:7">
      <c r="A6" s="21" t="s">
        <v>68</v>
      </c>
      <c r="B6" s="21" t="s">
        <v>156</v>
      </c>
      <c r="C6" s="22">
        <v>8983800000</v>
      </c>
      <c r="D6">
        <v>1.9963999999999999E-2</v>
      </c>
      <c r="G6">
        <v>2.5407999999999999</v>
      </c>
    </row>
    <row r="7" spans="1:7">
      <c r="A7" s="21" t="s">
        <v>68</v>
      </c>
      <c r="B7" s="21" t="s">
        <v>157</v>
      </c>
      <c r="C7" s="22">
        <v>11433600000</v>
      </c>
      <c r="D7">
        <v>2.5408E-2</v>
      </c>
      <c r="G7">
        <v>0.81669999999999998</v>
      </c>
    </row>
    <row r="8" spans="1:7">
      <c r="A8" s="21" t="s">
        <v>68</v>
      </c>
      <c r="B8" s="21" t="s">
        <v>158</v>
      </c>
      <c r="C8" s="22">
        <v>3675150000</v>
      </c>
      <c r="D8">
        <v>8.1670000000000006E-3</v>
      </c>
      <c r="G8">
        <v>2.2686000000000002</v>
      </c>
    </row>
    <row r="9" spans="1:7">
      <c r="A9" s="21" t="s">
        <v>159</v>
      </c>
      <c r="B9" t="s">
        <v>160</v>
      </c>
      <c r="C9" s="22">
        <v>10208700000</v>
      </c>
      <c r="D9">
        <v>2.2686000000000001E-2</v>
      </c>
      <c r="G9">
        <v>2.7223000000000002</v>
      </c>
    </row>
    <row r="10" spans="1:7">
      <c r="A10" s="21" t="s">
        <v>159</v>
      </c>
      <c r="B10" s="21" t="s">
        <v>161</v>
      </c>
      <c r="C10" s="22">
        <v>12250350000</v>
      </c>
      <c r="D10">
        <v>2.7223000000000001E-2</v>
      </c>
      <c r="E10" s="21" t="s">
        <v>22</v>
      </c>
      <c r="G10">
        <v>7.7131999999999996</v>
      </c>
    </row>
    <row r="11" spans="1:7">
      <c r="A11" s="21" t="s">
        <v>12</v>
      </c>
      <c r="B11" s="21" t="s">
        <v>162</v>
      </c>
      <c r="C11" s="22">
        <v>34709400000</v>
      </c>
      <c r="D11">
        <v>7.7132000000000006E-2</v>
      </c>
      <c r="E11" t="s">
        <v>23</v>
      </c>
      <c r="G11">
        <v>6.3521000000000001</v>
      </c>
    </row>
    <row r="12" spans="1:7">
      <c r="A12" s="21" t="s">
        <v>12</v>
      </c>
      <c r="B12" s="21" t="s">
        <v>163</v>
      </c>
      <c r="C12" s="22">
        <v>28584450000</v>
      </c>
      <c r="D12">
        <v>6.3520999999999994E-2</v>
      </c>
      <c r="E12" t="s">
        <v>164</v>
      </c>
      <c r="G12">
        <v>6.3521000000000001</v>
      </c>
    </row>
    <row r="13" spans="1:7">
      <c r="A13" s="21" t="s">
        <v>12</v>
      </c>
      <c r="B13" s="21" t="s">
        <v>165</v>
      </c>
      <c r="C13" s="22">
        <v>28584450000</v>
      </c>
      <c r="D13">
        <v>6.3520999999999994E-2</v>
      </c>
      <c r="E13" t="s">
        <v>166</v>
      </c>
      <c r="G13">
        <v>1.3612</v>
      </c>
    </row>
    <row r="14" spans="1:7">
      <c r="A14" s="21" t="s">
        <v>12</v>
      </c>
      <c r="B14" s="21" t="s">
        <v>167</v>
      </c>
      <c r="C14" s="22">
        <v>6125400000</v>
      </c>
      <c r="D14">
        <v>1.3612000000000001E-2</v>
      </c>
      <c r="E14" s="21" t="s">
        <v>168</v>
      </c>
      <c r="G14">
        <v>1.9964</v>
      </c>
    </row>
    <row r="15" spans="1:7">
      <c r="A15" s="21" t="s">
        <v>36</v>
      </c>
      <c r="B15" s="21" t="s">
        <v>136</v>
      </c>
      <c r="C15" s="22">
        <v>8983800000</v>
      </c>
      <c r="D15">
        <v>1.9963999999999999E-2</v>
      </c>
      <c r="G15">
        <v>1.8149</v>
      </c>
    </row>
    <row r="16" spans="1:7">
      <c r="A16" s="21" t="s">
        <v>36</v>
      </c>
      <c r="B16" s="21" t="s">
        <v>137</v>
      </c>
      <c r="C16" s="22">
        <v>8167050000</v>
      </c>
      <c r="D16">
        <v>1.8148999999999998E-2</v>
      </c>
      <c r="G16">
        <v>1.4519</v>
      </c>
    </row>
    <row r="17" spans="1:7">
      <c r="A17" s="21" t="s">
        <v>36</v>
      </c>
      <c r="B17" s="21" t="s">
        <v>138</v>
      </c>
      <c r="C17" s="22">
        <v>6533550000</v>
      </c>
      <c r="D17">
        <v>1.4519000000000001E-2</v>
      </c>
      <c r="E17" s="21" t="s">
        <v>169</v>
      </c>
      <c r="G17">
        <v>1.2704</v>
      </c>
    </row>
    <row r="18" spans="1:7">
      <c r="A18" s="21" t="s">
        <v>36</v>
      </c>
      <c r="B18" s="21" t="s">
        <v>139</v>
      </c>
      <c r="C18" s="22">
        <v>5716800000</v>
      </c>
      <c r="D18">
        <v>1.2704E-2</v>
      </c>
      <c r="G18">
        <v>3.1760000000000002</v>
      </c>
    </row>
    <row r="19" spans="1:7">
      <c r="A19" s="21" t="s">
        <v>36</v>
      </c>
      <c r="B19" s="21" t="s">
        <v>140</v>
      </c>
      <c r="C19" s="22">
        <v>14292000000</v>
      </c>
      <c r="D19">
        <v>3.1759999999999997E-2</v>
      </c>
      <c r="E19" s="21" t="s">
        <v>170</v>
      </c>
      <c r="G19">
        <v>1.3612</v>
      </c>
    </row>
    <row r="20" spans="1:7">
      <c r="A20" s="21" t="s">
        <v>36</v>
      </c>
      <c r="B20" s="21" t="s">
        <v>141</v>
      </c>
      <c r="C20" s="22">
        <v>6125400000</v>
      </c>
      <c r="D20">
        <v>1.3612000000000001E-2</v>
      </c>
      <c r="G20">
        <v>2.1779000000000002</v>
      </c>
    </row>
    <row r="21" spans="1:7">
      <c r="A21" s="21" t="s">
        <v>36</v>
      </c>
      <c r="B21" s="21" t="s">
        <v>142</v>
      </c>
      <c r="C21" s="22">
        <v>9800550000</v>
      </c>
      <c r="D21">
        <v>2.1779E-2</v>
      </c>
      <c r="E21" s="21" t="s">
        <v>171</v>
      </c>
      <c r="G21">
        <v>2.2686000000000002</v>
      </c>
    </row>
    <row r="22" spans="1:7">
      <c r="A22" s="21" t="s">
        <v>36</v>
      </c>
      <c r="B22" s="21" t="s">
        <v>172</v>
      </c>
      <c r="C22" s="22">
        <v>10208700000</v>
      </c>
      <c r="D22">
        <v>2.2686000000000001E-2</v>
      </c>
      <c r="G22">
        <v>1.8149</v>
      </c>
    </row>
    <row r="23" spans="1:7">
      <c r="A23" s="21" t="s">
        <v>36</v>
      </c>
      <c r="B23" s="21" t="s">
        <v>143</v>
      </c>
      <c r="C23" s="22">
        <v>8167050000</v>
      </c>
      <c r="D23">
        <v>1.8148999999999998E-2</v>
      </c>
      <c r="E23" s="21" t="s">
        <v>173</v>
      </c>
      <c r="G23">
        <v>2.9037999999999999</v>
      </c>
    </row>
    <row r="24" spans="1:7">
      <c r="A24" s="21" t="s">
        <v>36</v>
      </c>
      <c r="B24" s="21" t="s">
        <v>144</v>
      </c>
      <c r="C24" s="22">
        <v>13067100000</v>
      </c>
      <c r="D24">
        <v>2.9038000000000001E-2</v>
      </c>
      <c r="E24" s="21" t="s">
        <v>174</v>
      </c>
      <c r="G24">
        <v>1.8149</v>
      </c>
    </row>
    <row r="25" spans="1:7">
      <c r="A25" s="21" t="s">
        <v>36</v>
      </c>
      <c r="B25" s="21" t="s">
        <v>145</v>
      </c>
      <c r="C25" s="22">
        <v>8167050000</v>
      </c>
      <c r="D25">
        <v>1.8148999999999998E-2</v>
      </c>
      <c r="G25">
        <v>2.2686000000000002</v>
      </c>
    </row>
    <row r="26" spans="1:7">
      <c r="A26" s="21" t="s">
        <v>36</v>
      </c>
      <c r="B26" s="21" t="s">
        <v>146</v>
      </c>
      <c r="C26" s="22">
        <v>10208700000</v>
      </c>
      <c r="D26">
        <v>2.2686000000000001E-2</v>
      </c>
      <c r="G26">
        <v>2.2686000000000002</v>
      </c>
    </row>
    <row r="27" spans="1:7">
      <c r="A27" s="21" t="s">
        <v>36</v>
      </c>
      <c r="B27" s="21" t="s">
        <v>147</v>
      </c>
      <c r="C27" s="22">
        <v>10208700000</v>
      </c>
      <c r="D27">
        <v>2.2686000000000001E-2</v>
      </c>
      <c r="G27">
        <v>2.2686000000000002</v>
      </c>
    </row>
    <row r="28" spans="1:7">
      <c r="A28" s="21" t="s">
        <v>36</v>
      </c>
      <c r="B28" s="21" t="s">
        <v>175</v>
      </c>
      <c r="C28" s="22">
        <v>10208700000</v>
      </c>
      <c r="D28">
        <v>2.2686000000000001E-2</v>
      </c>
      <c r="G28">
        <v>3.1760000000000002</v>
      </c>
    </row>
    <row r="29" spans="1:7">
      <c r="A29" s="21" t="s">
        <v>36</v>
      </c>
      <c r="B29" s="21" t="s">
        <v>176</v>
      </c>
      <c r="C29" s="22">
        <v>14292000000</v>
      </c>
      <c r="D29">
        <v>3.1759999999999997E-2</v>
      </c>
      <c r="E29" s="21" t="s">
        <v>177</v>
      </c>
      <c r="G29">
        <v>1.6334</v>
      </c>
    </row>
    <row r="30" spans="1:7">
      <c r="A30" s="21" t="s">
        <v>36</v>
      </c>
      <c r="B30" s="21" t="s">
        <v>178</v>
      </c>
      <c r="C30" s="22">
        <v>7350300000</v>
      </c>
      <c r="D30">
        <v>1.6334000000000001E-2</v>
      </c>
      <c r="G30">
        <v>3.6297999999999999</v>
      </c>
    </row>
    <row r="31" spans="1:7">
      <c r="A31" s="21" t="s">
        <v>179</v>
      </c>
      <c r="B31" s="21" t="s">
        <v>180</v>
      </c>
      <c r="C31" s="22">
        <v>16334100000</v>
      </c>
      <c r="D31">
        <v>3.6297999999999997E-2</v>
      </c>
      <c r="G31">
        <v>2.9037999999999999</v>
      </c>
    </row>
    <row r="32" spans="1:7">
      <c r="A32" s="21" t="s">
        <v>179</v>
      </c>
      <c r="B32" s="21" t="s">
        <v>181</v>
      </c>
      <c r="C32" s="22">
        <v>13067100000</v>
      </c>
      <c r="D32">
        <v>2.9038000000000001E-2</v>
      </c>
      <c r="G32">
        <v>1.8149</v>
      </c>
    </row>
    <row r="33" spans="1:7">
      <c r="A33" s="21" t="s">
        <v>179</v>
      </c>
      <c r="B33" s="21" t="s">
        <v>182</v>
      </c>
      <c r="C33" s="22">
        <v>8167050000</v>
      </c>
      <c r="D33">
        <v>1.8148999999999998E-2</v>
      </c>
      <c r="G33">
        <v>1.6334</v>
      </c>
    </row>
    <row r="34" spans="1:7">
      <c r="A34" s="21" t="s">
        <v>179</v>
      </c>
      <c r="B34" s="21" t="s">
        <v>183</v>
      </c>
      <c r="C34" s="22">
        <v>7350300000</v>
      </c>
      <c r="D34">
        <v>1.6334000000000001E-2</v>
      </c>
      <c r="G34">
        <v>0.90739999999999998</v>
      </c>
    </row>
    <row r="35" spans="1:7">
      <c r="A35" s="21" t="s">
        <v>179</v>
      </c>
      <c r="B35" s="21" t="s">
        <v>184</v>
      </c>
      <c r="C35" s="22">
        <v>4083300000</v>
      </c>
      <c r="D35">
        <v>9.0740000000000005E-3</v>
      </c>
      <c r="G35">
        <v>3.4483000000000001</v>
      </c>
    </row>
    <row r="36" spans="1:7">
      <c r="A36" s="21" t="s">
        <v>185</v>
      </c>
      <c r="B36" s="21" t="s">
        <v>186</v>
      </c>
      <c r="C36" s="22">
        <v>15517350000</v>
      </c>
      <c r="D36">
        <v>3.4483E-2</v>
      </c>
      <c r="G36">
        <v>2.7223000000000002</v>
      </c>
    </row>
    <row r="37" spans="1:7">
      <c r="A37" s="21" t="s">
        <v>185</v>
      </c>
      <c r="B37" s="21" t="s">
        <v>187</v>
      </c>
      <c r="C37" s="22">
        <v>12250350000</v>
      </c>
      <c r="D37">
        <v>2.7223000000000001E-2</v>
      </c>
      <c r="G37">
        <v>1.9964</v>
      </c>
    </row>
    <row r="38" spans="1:7">
      <c r="A38" s="21" t="s">
        <v>185</v>
      </c>
      <c r="B38" s="21" t="s">
        <v>188</v>
      </c>
      <c r="C38" s="22">
        <v>8983800000</v>
      </c>
      <c r="D38">
        <v>1.9963999999999999E-2</v>
      </c>
      <c r="G38">
        <v>1.3612</v>
      </c>
    </row>
    <row r="39" spans="1:7">
      <c r="A39" s="21" t="s">
        <v>185</v>
      </c>
      <c r="B39" s="21" t="s">
        <v>189</v>
      </c>
      <c r="C39" s="22">
        <v>6125400000</v>
      </c>
      <c r="D39">
        <v>1.3612000000000001E-2</v>
      </c>
      <c r="G39">
        <v>0.90739999999999998</v>
      </c>
    </row>
    <row r="40" spans="1:7">
      <c r="A40" s="21" t="s">
        <v>185</v>
      </c>
      <c r="B40" s="21" t="s">
        <v>190</v>
      </c>
      <c r="C40" s="22">
        <v>4083300000</v>
      </c>
      <c r="D40">
        <v>9.0740000000000005E-3</v>
      </c>
      <c r="E40" s="21" t="s">
        <v>191</v>
      </c>
      <c r="G40">
        <v>2.2686000000000002</v>
      </c>
    </row>
    <row r="41" spans="1:7">
      <c r="A41" s="21" t="s">
        <v>192</v>
      </c>
      <c r="B41" s="21" t="s">
        <v>193</v>
      </c>
      <c r="C41" s="22">
        <v>10208700000</v>
      </c>
      <c r="D41">
        <v>2.2686000000000001E-2</v>
      </c>
      <c r="G41">
        <v>1.3612</v>
      </c>
    </row>
    <row r="42" spans="1:7">
      <c r="A42" s="21" t="s">
        <v>192</v>
      </c>
      <c r="B42" s="21" t="s">
        <v>194</v>
      </c>
      <c r="C42" s="22">
        <v>6125400000</v>
      </c>
      <c r="D42">
        <v>1.3612000000000001E-2</v>
      </c>
      <c r="G42">
        <v>1.9964</v>
      </c>
    </row>
    <row r="43" spans="1:7">
      <c r="A43" s="21" t="s">
        <v>192</v>
      </c>
      <c r="B43" s="21" t="s">
        <v>195</v>
      </c>
      <c r="C43" s="22">
        <v>8983800000</v>
      </c>
      <c r="D43">
        <v>1.9963999999999999E-2</v>
      </c>
      <c r="G43">
        <v>1.2704</v>
      </c>
    </row>
    <row r="44" spans="1:7">
      <c r="A44" s="21" t="s">
        <v>196</v>
      </c>
      <c r="B44" s="21" t="s">
        <v>197</v>
      </c>
      <c r="C44" s="22">
        <v>5716800000</v>
      </c>
      <c r="D44">
        <v>1.2704E-2</v>
      </c>
      <c r="G44">
        <v>1.6332</v>
      </c>
    </row>
    <row r="45" spans="1:7">
      <c r="A45" s="21" t="s">
        <v>196</v>
      </c>
      <c r="B45" s="21" t="s">
        <v>198</v>
      </c>
      <c r="C45" s="22">
        <v>7349400000</v>
      </c>
      <c r="D45">
        <v>1.6331999999999999E-2</v>
      </c>
      <c r="E45" s="21" t="s">
        <v>199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1403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보할공정표 (3)</vt:lpstr>
      <vt:lpstr>보할공정표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이한별</dc:creator>
  <cp:lastModifiedBy>한별 이</cp:lastModifiedBy>
  <cp:revision>11</cp:revision>
  <dcterms:created xsi:type="dcterms:W3CDTF">2026-05-06T03:08:34Z</dcterms:created>
  <dcterms:modified xsi:type="dcterms:W3CDTF">2026-05-09T18:29:24Z</dcterms:modified>
  <cp:version>1200.0100.01</cp:version>
</cp:coreProperties>
</file>